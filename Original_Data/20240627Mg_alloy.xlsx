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析出相说明" sheetId="2" r:id="rId2"/>
    <sheet name="Sheet3" sheetId="3" r:id="rId3"/>
  </sheets>
  <definedNames>
    <definedName name="_xlnm._FilterDatabase" localSheetId="0" hidden="1">Sheet1!$L$1:$L$881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<sst xmlns="http://schemas.openxmlformats.org/spreadsheetml/2006/main" count="4430" uniqueCount="1102">
  <si>
    <t>原数据编号</t>
  </si>
  <si>
    <t>No.</t>
  </si>
  <si>
    <t>合金成分（wt.%）</t>
  </si>
  <si>
    <t>屈服强度</t>
  </si>
  <si>
    <t>抗拉强度 (UTS)</t>
  </si>
  <si>
    <t>Grain Size</t>
  </si>
  <si>
    <t>惯习面名称</t>
  </si>
  <si>
    <t>第二相体积比</t>
  </si>
  <si>
    <t>形貌（球形，片层，杆状）</t>
  </si>
  <si>
    <t>Precipitate Distribution</t>
  </si>
  <si>
    <t>Habit Plane</t>
  </si>
  <si>
    <t>直径</t>
  </si>
  <si>
    <t>长度</t>
  </si>
  <si>
    <t>宽度</t>
  </si>
  <si>
    <t>纵横比</t>
  </si>
  <si>
    <t>231106数据编号</t>
  </si>
  <si>
    <t>Mg-0.6946Y-0.0299Fe-0.0562Si</t>
  </si>
  <si>
    <t>铸造+固溶+挤压</t>
  </si>
  <si>
    <t>500°C/12h+400°C，25:1</t>
  </si>
  <si>
    <t>https://doi.org/10.1016/j.jmrt.2023.08.166</t>
  </si>
  <si>
    <t>Mg-0.7323Y-0.2714Gd-0.0156Fe-0.0316Si</t>
  </si>
  <si>
    <t>Mg-0.6239Y-0.7524Gd-0.0103Fe-0.0265Si</t>
  </si>
  <si>
    <t>Mg-2.54Gd-0.51Zn-0.3Mn</t>
  </si>
  <si>
    <t>LPSO</t>
  </si>
  <si>
    <t>片层</t>
  </si>
  <si>
    <t>晶界+晶内</t>
  </si>
  <si>
    <t>基面</t>
  </si>
  <si>
    <t>515°C/16h+320°C，6.25:1</t>
  </si>
  <si>
    <t xml:space="preserve">https://doi.org/10.1016/j.jallcom.2023.171804 </t>
  </si>
  <si>
    <t>Mg-1.79Gd-0.68Y-0.46Zn-0.3Mn</t>
  </si>
  <si>
    <t>Mg-1.26Gd-1.24Y-0.54Zn-0.3Mn</t>
  </si>
  <si>
    <t>Mg-2.63Gd-0.75Y-0.48Zn-0.3Mn</t>
  </si>
  <si>
    <t xml:space="preserve">Mg–14Gd–3Y–1.8Zn–0.5Zr </t>
  </si>
  <si>
    <t>片层 14H LPSO</t>
  </si>
  <si>
    <t>晶界</t>
  </si>
  <si>
    <t>铸造+固溶</t>
  </si>
  <si>
    <t>520/6h</t>
  </si>
  <si>
    <t xml:space="preserve">http://dx.doi.org/10.1016/j.jallcom.2012.12.093 </t>
  </si>
  <si>
    <t>520/8h</t>
  </si>
  <si>
    <t>520/10h</t>
  </si>
  <si>
    <t>520/12h</t>
  </si>
  <si>
    <t>520/14h</t>
  </si>
  <si>
    <t>12.2柱面相+20.2基面相</t>
  </si>
  <si>
    <t>片层14H LPSO+β相</t>
  </si>
  <si>
    <t>基面+柱面</t>
  </si>
  <si>
    <t>铸造+固溶+时效</t>
  </si>
  <si>
    <t>520/6h+225/16h</t>
  </si>
  <si>
    <t>520/8h+225/16h</t>
  </si>
  <si>
    <t>25.8柱面相+23.8基面相</t>
  </si>
  <si>
    <t>520/10h+225/16h</t>
  </si>
  <si>
    <t>520/12h+225/16h</t>
  </si>
  <si>
    <t>13.4柱面相+30.2基面相</t>
  </si>
  <si>
    <t>520/14h+225/16h</t>
  </si>
  <si>
    <t xml:space="preserve">Mg–15.6Gd– 1.8Ag–0.4Zr </t>
  </si>
  <si>
    <t>P1+P2：11.5</t>
  </si>
  <si>
    <t>方块 中间化合物</t>
  </si>
  <si>
    <t>铸造</t>
  </si>
  <si>
    <t xml:space="preserve">http://dx.doi.org/10.1016/j.jallcom.2014.07.028 </t>
  </si>
  <si>
    <t>480°C/18h+500°C/8h</t>
  </si>
  <si>
    <t>LPSO+β'</t>
  </si>
  <si>
    <t>晶内</t>
  </si>
  <si>
    <t>200°C/32h</t>
  </si>
  <si>
    <t>Mg-14.3Gd-1.2Zn-0.35Mn</t>
  </si>
  <si>
    <t>铸造+挤压</t>
  </si>
  <si>
    <t>320°C, 6.25:1</t>
  </si>
  <si>
    <t xml:space="preserve">https://doi.org/10.1016/j.msea.2021.141019 </t>
  </si>
  <si>
    <t>β'=8.7±2</t>
  </si>
  <si>
    <t>铸造+挤压+时效</t>
  </si>
  <si>
    <t>320°C+200°C /64h(T5 treatment)</t>
  </si>
  <si>
    <t>Mg-10.3Gd-2.2Y-1.1Zn-0.34Mn</t>
  </si>
  <si>
    <t>β'=8.6±2.7</t>
  </si>
  <si>
    <t>MG-7.3Gd-4.0Y-1.3Zn-0.28Mn</t>
  </si>
  <si>
    <t>β'=20</t>
  </si>
  <si>
    <t>320°C+200°C /128h(T5 treatment)</t>
  </si>
  <si>
    <t>MG-14.5Gd-2.3Y-1.1Zn-0.3Mn</t>
  </si>
  <si>
    <t>β'=8.3±1.6</t>
  </si>
  <si>
    <t>Mg-10.06Gd-1.13Y-0.47Zr</t>
  </si>
  <si>
    <t>β'</t>
  </si>
  <si>
    <t>柱面</t>
  </si>
  <si>
    <t>525°C/10h+250°C/5h</t>
  </si>
  <si>
    <r>
      <rPr>
        <sz val="12"/>
        <color theme="1"/>
        <rFont val="Times"/>
        <charset val="134"/>
      </rPr>
      <t>doi:</t>
    </r>
    <r>
      <rPr>
        <sz val="12"/>
        <color rgb="FF000066"/>
        <rFont val="Times"/>
        <charset val="134"/>
      </rPr>
      <t xml:space="preserve">10.1016/j.msea.2006.11.096 </t>
    </r>
  </si>
  <si>
    <t>Mg-10.11Gd-2.45Y-0.45Zr</t>
  </si>
  <si>
    <t>Mg-10.09Gd-5.18Y-0.43Zr</t>
  </si>
  <si>
    <t>Mg-2Gd-1.2Y-1.0Zn-0.2Zr</t>
  </si>
  <si>
    <t>500°C/12h</t>
  </si>
  <si>
    <t xml:space="preserve">https://doi.org/10.1007/s12540-020-00782-x </t>
  </si>
  <si>
    <t xml:space="preserve">Mg-2Gd-1.2Y-1.0Zn-0.2Zr </t>
  </si>
  <si>
    <t>500°C/12h+200°/100h</t>
  </si>
  <si>
    <t>Mg-10.4Gd-3.3Y-0.46Zr</t>
  </si>
  <si>
    <t>颗粒</t>
  </si>
  <si>
    <t>400°C 8:1</t>
  </si>
  <si>
    <r>
      <rPr>
        <sz val="12"/>
        <color theme="1"/>
        <rFont val="Times"/>
        <charset val="134"/>
      </rPr>
      <t>doi:</t>
    </r>
    <r>
      <rPr>
        <sz val="12"/>
        <color rgb="FF000066"/>
        <rFont val="Times"/>
        <charset val="134"/>
      </rPr>
      <t xml:space="preserve">10.1016/j.jallcom.2007.10.068 </t>
    </r>
  </si>
  <si>
    <t>500°/6h+225°C</t>
  </si>
  <si>
    <t>400°C 8:1，500°/6h+250°C</t>
  </si>
  <si>
    <t>400°C 8:1，500°/6h+225°C</t>
  </si>
  <si>
    <t>400°C 8:1，500°/6h+200°C</t>
  </si>
  <si>
    <t>铸造+时效+二次时效</t>
  </si>
  <si>
    <t>Mg-9.8Gd-3.2Y-1.1Zn-0.42Zr</t>
  </si>
  <si>
    <t>400°C 8:1，500°/10h+250°C</t>
  </si>
  <si>
    <t>400°C 8:1，500°/10h+225°C</t>
  </si>
  <si>
    <t>400°C 8:1，500°/10h+200°C</t>
  </si>
  <si>
    <t>Mg-12Gd-2Y-1Zn-1Mn</t>
  </si>
  <si>
    <t>400°C， 6.25:1</t>
  </si>
  <si>
    <t xml:space="preserve">https://doi.org/10.1016/j.matchar.2020.110396 </t>
  </si>
  <si>
    <t>β'=26.4</t>
  </si>
  <si>
    <t>β'=10</t>
  </si>
  <si>
    <t>β'=6.6</t>
  </si>
  <si>
    <t>400°C， 6.25:1+200°C/64h</t>
  </si>
  <si>
    <t xml:space="preserve">Mg- 12.6Gd-1.3Y-0.9Zn-0.5Mn </t>
  </si>
  <si>
    <t>500°C/2h+520°C/12h+370°Cextrusion, 9:1</t>
  </si>
  <si>
    <t>https://doi.org/10.1016/j.matdes.2019.107666</t>
  </si>
  <si>
    <t>铸造+固溶+挤压+轧制</t>
  </si>
  <si>
    <t>500°C/2h+520°C/12h+370°Cextrusion, 9:1+10%rolling</t>
  </si>
  <si>
    <t>铸造+固溶+挤压+轧制+拉伸</t>
  </si>
  <si>
    <t>500°C/2h+520°C/12h+370°Cextrusion, 9:1+10%rolling+2%tension</t>
  </si>
  <si>
    <t>β'=14.5</t>
  </si>
  <si>
    <t>γ'=98</t>
  </si>
  <si>
    <t>β'=4.3</t>
  </si>
  <si>
    <t>β'=5.2</t>
  </si>
  <si>
    <t>铸造+固溶+挤压+时效</t>
  </si>
  <si>
    <t>500°C/2h+520°C/12h+370°Cextrusion, 9:1+200°C/64h</t>
  </si>
  <si>
    <t>β'=12.4</t>
  </si>
  <si>
    <t>γ'=66</t>
  </si>
  <si>
    <t>β'=4.1</t>
  </si>
  <si>
    <t>β'=4.7</t>
  </si>
  <si>
    <t>铸造+固溶+挤压+轧制+时效</t>
  </si>
  <si>
    <t>500°C/2h+520°C/12h+370°Cextrusion, 9:1+10%rolling+200°C/64h</t>
  </si>
  <si>
    <t>β'=15.3</t>
  </si>
  <si>
    <t>γ'=19</t>
  </si>
  <si>
    <t>β'=4.4</t>
  </si>
  <si>
    <t>β'=5.3</t>
  </si>
  <si>
    <t>铸造+固溶+挤压+轧制+拉伸+时效</t>
  </si>
  <si>
    <t>500°C/2h+520°C/12h+370°Cextrusion, 9:1+10%rolling+2%tension+200°C/64h</t>
  </si>
  <si>
    <t>Mg-8Gd-4Y-0.5Mn-0.2Sc</t>
  </si>
  <si>
    <r>
      <rPr>
        <sz val="12"/>
        <color theme="1"/>
        <rFont val="AdvCaeciliaRm"/>
        <charset val="134"/>
      </rPr>
      <t>520</t>
    </r>
    <r>
      <rPr>
        <sz val="12"/>
        <color theme="1"/>
        <rFont val="AdvP4C4E74"/>
        <charset val="134"/>
      </rPr>
      <t>°</t>
    </r>
    <r>
      <rPr>
        <sz val="12"/>
        <color theme="1"/>
        <rFont val="AdvCaeciliaRm"/>
        <charset val="134"/>
      </rPr>
      <t xml:space="preserve">C/18 h+400°C，extrusion 10:1 </t>
    </r>
  </si>
  <si>
    <t>https://doi.org/10.1016/j.jmrt.2022.11.015</t>
  </si>
  <si>
    <t>1+β'</t>
  </si>
  <si>
    <t>β=200</t>
  </si>
  <si>
    <r>
      <rPr>
        <sz val="12"/>
        <color theme="1"/>
        <rFont val="AdvCaeciliaRm"/>
        <charset val="134"/>
      </rPr>
      <t>520</t>
    </r>
    <r>
      <rPr>
        <sz val="12"/>
        <color theme="1"/>
        <rFont val="AdvP4C4E74"/>
        <charset val="134"/>
      </rPr>
      <t>°</t>
    </r>
    <r>
      <rPr>
        <sz val="12"/>
        <color theme="1"/>
        <rFont val="AdvCaeciliaRm"/>
        <charset val="134"/>
      </rPr>
      <t>C/18 h+400°C，extrusion 10:1 +200°C/128h</t>
    </r>
  </si>
  <si>
    <t xml:space="preserve">Mg-8Gd-4Y-1Mn-0.4Sc </t>
  </si>
  <si>
    <t>β=300</t>
  </si>
  <si>
    <t>Mg-4.05Gd-0.51Zr-1.21Y</t>
  </si>
  <si>
    <r>
      <rPr>
        <sz val="12"/>
        <color theme="1"/>
        <rFont val="CharisSIL"/>
        <charset val="134"/>
      </rPr>
      <t xml:space="preserve">510 </t>
    </r>
    <r>
      <rPr>
        <sz val="12"/>
        <color theme="1"/>
        <rFont val="TeX_CM_Maths_Symbols"/>
        <charset val="134"/>
      </rPr>
      <t>◦</t>
    </r>
    <r>
      <rPr>
        <sz val="12"/>
        <color theme="1"/>
        <rFont val="CharisSIL"/>
        <charset val="134"/>
      </rPr>
      <t xml:space="preserve">C/12h+450°C extrusion </t>
    </r>
  </si>
  <si>
    <t xml:space="preserve">https://doi.org/10.1016/j.msea.2022.144371 </t>
  </si>
  <si>
    <t>Mg-3.96Gd-0.57Zr-0.82Y</t>
  </si>
  <si>
    <t>Mg-0.98Gd-0.48Zr-0.53Y</t>
  </si>
  <si>
    <t>Mg-4.03Gd-0.46Zr</t>
  </si>
  <si>
    <t xml:space="preserve">Mg-11Gd-3Y-0.5Nd-Zr </t>
  </si>
  <si>
    <t>520/24h+360 extrusion 16:1</t>
  </si>
  <si>
    <t xml:space="preserve">https://doi.org/10.1016/j.matchar.2022.111952 </t>
  </si>
  <si>
    <t>520/24h+360 extrusion 16:1+215/18h</t>
  </si>
  <si>
    <t>500/8h+360 extrusion 16:1+215/16h</t>
  </si>
  <si>
    <t>https://doi.org/10.1016/j.jmrt.2023.02.056</t>
  </si>
  <si>
    <t>520/24h+360 extrusion 16:1+215/20h</t>
  </si>
  <si>
    <t>520/72h+360 extrusion 16:1+215/24h</t>
  </si>
  <si>
    <t xml:space="preserve">Mg- 7.50Gd-1.53Y-0.37Zr-0.45Ag </t>
  </si>
  <si>
    <t>520/24h+420, 9:1</t>
  </si>
  <si>
    <t xml:space="preserve">https://doi.org/10.1016/j.msea.2022.143990 </t>
  </si>
  <si>
    <t>520/24h+420, 25:1</t>
  </si>
  <si>
    <t>520/24h+470, 25:1</t>
  </si>
  <si>
    <t>520/24h+420, 9:1+225/10h</t>
  </si>
  <si>
    <t>520/24h+420, 25:1+225/10h</t>
  </si>
  <si>
    <t>520/24h+470, 25:1+225/10h</t>
  </si>
  <si>
    <t>Mg-6Gd-4Y-0.7Zn-0.4Zr-0.3Ag</t>
  </si>
  <si>
    <t>8.65%β+8.72%LPSO</t>
  </si>
  <si>
    <t>铸造+固溶+锻造</t>
  </si>
  <si>
    <r>
      <rPr>
        <sz val="12"/>
        <color theme="1"/>
        <rFont val="Times"/>
        <charset val="134"/>
      </rPr>
      <t xml:space="preserve">450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 xml:space="preserve">C/6 h+515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>C/32h+480 forg</t>
    </r>
  </si>
  <si>
    <t xml:space="preserve">https://doi.org/10.1016/j.jma.2021.08.037 </t>
  </si>
  <si>
    <r>
      <rPr>
        <sz val="12"/>
        <color theme="1"/>
        <rFont val="宋体"/>
        <charset val="134"/>
        <scheme val="minor"/>
      </rPr>
      <t>9.2%</t>
    </r>
    <r>
      <rPr>
        <sz val="12"/>
        <color theme="1"/>
        <rFont val="宋体"/>
        <charset val="134"/>
        <scheme val="minor"/>
      </rPr>
      <t>β+14.7%LPSO</t>
    </r>
  </si>
  <si>
    <t>铸造+固溶+锻造+固溶+时效</t>
  </si>
  <si>
    <r>
      <rPr>
        <sz val="12"/>
        <color theme="1"/>
        <rFont val="Times"/>
        <charset val="134"/>
      </rPr>
      <t xml:space="preserve">450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 xml:space="preserve">C/6 h+515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>C/32h+480 forg+430/4h+200</t>
    </r>
  </si>
  <si>
    <t>铸造+固溶+锻造+时效</t>
  </si>
  <si>
    <r>
      <rPr>
        <sz val="12"/>
        <color theme="1"/>
        <rFont val="Times"/>
        <charset val="134"/>
      </rPr>
      <t xml:space="preserve">450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 xml:space="preserve">C/6 h+515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>C/32h+480 forg+430/4h+200/34h</t>
    </r>
  </si>
  <si>
    <r>
      <rPr>
        <sz val="12"/>
        <color theme="1"/>
        <rFont val="Times"/>
        <charset val="134"/>
      </rPr>
      <t xml:space="preserve">450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 xml:space="preserve">C/6 h+515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>C/32h+480 forg+430/4h+200/32h</t>
    </r>
  </si>
  <si>
    <r>
      <rPr>
        <sz val="12"/>
        <color theme="1"/>
        <rFont val="Times"/>
        <charset val="134"/>
      </rPr>
      <t xml:space="preserve">450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 xml:space="preserve">C/6 h+515 </t>
    </r>
    <r>
      <rPr>
        <sz val="12"/>
        <color theme="1"/>
        <rFont val="TimesNewRomanPSMT"/>
        <charset val="134"/>
      </rPr>
      <t>°</t>
    </r>
    <r>
      <rPr>
        <sz val="12"/>
        <color theme="1"/>
        <rFont val="Times"/>
        <charset val="134"/>
      </rPr>
      <t>C/32h+480 forg+430/4h+200/40h</t>
    </r>
  </si>
  <si>
    <t>Mg-6.14Gd-3.08Y-1.02Zn-0.44Zr</t>
  </si>
  <si>
    <t xml:space="preserve">基面 </t>
  </si>
  <si>
    <t>510/24h</t>
  </si>
  <si>
    <t xml:space="preserve">https://doi.org/10.1016/j.jallcom.2021.159825 </t>
  </si>
  <si>
    <t>510/24+200/96</t>
  </si>
  <si>
    <t>Mg-6.05Gd-3.12Y-0.95Zn-0.32Ag-0.47Zr</t>
  </si>
  <si>
    <t>18%β'+7%LPSO</t>
  </si>
  <si>
    <t>lpso=32.35</t>
  </si>
  <si>
    <t>β'=15.37</t>
  </si>
  <si>
    <t>β'=6.81</t>
  </si>
  <si>
    <t>510/24h+200/72</t>
  </si>
  <si>
    <t>Mg-1.8Zn-0.78Y-0.79Gd</t>
  </si>
  <si>
    <t>21.7%LPSo+2.2%W</t>
  </si>
  <si>
    <t xml:space="preserve">https://doi.org/10.1016/j.jma.2020.06.009 </t>
  </si>
  <si>
    <t xml:space="preserve">Mg-1.8Zn-0.78Y-0.79Gd </t>
  </si>
  <si>
    <t>1+LPSO</t>
  </si>
  <si>
    <t>13.5%LPSO+2.2%W</t>
  </si>
  <si>
    <t>480/48h</t>
  </si>
  <si>
    <t>20.1%LPSO+2.1%W</t>
  </si>
  <si>
    <t>480/48h+200/60h</t>
  </si>
  <si>
    <t xml:space="preserve">Mg-0.93Zn-0.77Y-0.82Gd </t>
  </si>
  <si>
    <t>Mg-0.93Zn-0.77Y-0.82Gd</t>
  </si>
  <si>
    <t>480/48h+200/12h</t>
  </si>
  <si>
    <t xml:space="preserve">Mg-9.3Gd-2.7Y-0.65Ag-0.52Zr-0.18Ce </t>
  </si>
  <si>
    <t>500/12h</t>
  </si>
  <si>
    <t xml:space="preserve">https://doi.org/10.1016/j.jmst.2020.05.028 </t>
  </si>
  <si>
    <t>2.5%LPSO+9.6%β'</t>
  </si>
  <si>
    <t>LPSO=24</t>
  </si>
  <si>
    <t>β'=5.7</t>
  </si>
  <si>
    <t>500/12h+200/30h</t>
  </si>
  <si>
    <t>7%LOSPSO+14.4%β'</t>
  </si>
  <si>
    <t>LPSO=26</t>
  </si>
  <si>
    <t>β'=7.3</t>
  </si>
  <si>
    <t>β'=6.4</t>
  </si>
  <si>
    <t>500/12h+200/300h</t>
  </si>
  <si>
    <t>500/12h+400 extrusion</t>
  </si>
  <si>
    <t>500/12h+400 extrusion+200/60h</t>
  </si>
  <si>
    <t>500/12h+400 extrusion+200/300h</t>
  </si>
  <si>
    <t>Mg-10.03Gd-3.04Y--0.63Zr</t>
  </si>
  <si>
    <t xml:space="preserve">DOI: 10.1016/S1003-6326(19)64982-4 </t>
  </si>
  <si>
    <t>晶内+晶界</t>
  </si>
  <si>
    <t>β'=45</t>
  </si>
  <si>
    <t>β'=9</t>
  </si>
  <si>
    <t>520/8h+220/16h</t>
  </si>
  <si>
    <t>Mg-10.10Gd-2.98Y-0.53Zn-0.61Zr</t>
  </si>
  <si>
    <t>β'=64</t>
  </si>
  <si>
    <t>β'=12</t>
  </si>
  <si>
    <t>520/8h+220/36h</t>
  </si>
  <si>
    <t>Mg-10.05Gd-3.05Y-0.98Zn-0.59Zr</t>
  </si>
  <si>
    <t>β'=184</t>
  </si>
  <si>
    <t>β'=43</t>
  </si>
  <si>
    <t>520/8h+220/58h</t>
  </si>
  <si>
    <t>Mg-10.13Gd-3.12Y-2.03Zn-0.6Zr</t>
  </si>
  <si>
    <t>β'=207</t>
  </si>
  <si>
    <t>β'=78</t>
  </si>
  <si>
    <t>520/8h+220/123h</t>
  </si>
  <si>
    <t>Mg-6Gd-1Y-0.5Zr</t>
  </si>
  <si>
    <t>Mg-Gd-Y-Zr（-Ca）合金的微观组织演变、性能和断裂行为研究 - 中国知网 (cnki.net)</t>
  </si>
  <si>
    <t>500℃×8h</t>
  </si>
  <si>
    <t>Mg-6Gd-3Y-0.5Zr</t>
  </si>
  <si>
    <t>条状</t>
  </si>
  <si>
    <t>片状</t>
  </si>
  <si>
    <t>晶粒</t>
  </si>
  <si>
    <t>500℃×8h+225℃×16h</t>
  </si>
  <si>
    <t>Mg-8Gd-3Y-0.5Zr</t>
  </si>
  <si>
    <t>Mg-9Gd-3Y-0.5Zr-0.6Ca</t>
  </si>
  <si>
    <t>Mg-10Gd-2Y-0.5Zr</t>
  </si>
  <si>
    <t>490℃×8h</t>
  </si>
  <si>
    <t>490℃×8h+225℃×16h</t>
  </si>
  <si>
    <t>Mg-10Gd-3Y-0.5Zr</t>
  </si>
  <si>
    <t>β'+β</t>
  </si>
  <si>
    <t>β':片状, β:链状</t>
  </si>
  <si>
    <t>Mg-10Gd-3Y-0.5Zr-0.5Ca</t>
  </si>
  <si>
    <t>Mg-12Gd-3Y-0.5Zr</t>
  </si>
  <si>
    <t>400℃挤压+挤压比9.3</t>
  </si>
  <si>
    <t>400℃挤压+挤压比9.3+200℃时效</t>
  </si>
  <si>
    <t>450℃挤压+挤压比9.3+200℃时效</t>
  </si>
  <si>
    <t>400℃挤压+挤压比24+200℃时效</t>
  </si>
  <si>
    <t>350℃挤压+挤压比9.3+200℃时效</t>
  </si>
  <si>
    <t>350℃挤压+挤压比9.3+6%拉伸冷作硬化+200℃时效</t>
  </si>
  <si>
    <t>400℃挤压+挤压比24+6%拉伸冷作硬化+200℃时效</t>
  </si>
  <si>
    <t>400℃挤压+挤压比9.3+225℃时效</t>
  </si>
  <si>
    <t>350℃挤压+挤压比9.3+225℃时效</t>
  </si>
  <si>
    <t>400℃挤压+挤压比9.3+6%拉伸冷作硬化</t>
  </si>
  <si>
    <t>400℃挤压+挤压比9.3+6%拉伸冷作硬化+200℃时效</t>
  </si>
  <si>
    <t>Mg-10Gd-3Y-0.5Zr-0.4Ca</t>
  </si>
  <si>
    <t>400℃挤压+挤压比24+225℃时效</t>
  </si>
  <si>
    <t>Mg-1Gd-1Y-1Zn</t>
  </si>
  <si>
    <t>LPSO24.6%</t>
  </si>
  <si>
    <t>网状分布的块状</t>
  </si>
  <si>
    <t>含LPSO相的Mg-Gd-Y-Zn系镁合金组织与性能的研究 - 中国知网 (cnki.net)</t>
  </si>
  <si>
    <t>LPSO22.0%</t>
  </si>
  <si>
    <t>零散分布层片状与块状</t>
  </si>
  <si>
    <t>500℃*24h</t>
  </si>
  <si>
    <t>LPSO23.2%</t>
  </si>
  <si>
    <t>铸造+时效</t>
  </si>
  <si>
    <t>500℃*24h+200℃*72h</t>
  </si>
  <si>
    <t>Mg-1Gd-1Y-1.5Zn</t>
  </si>
  <si>
    <t>LPSO28.1%，W1.3%</t>
  </si>
  <si>
    <t>W相：长条状/颗粒状；LPSO相网状分布块状</t>
  </si>
  <si>
    <t>1+基面</t>
  </si>
  <si>
    <t>LPSO26.5%</t>
  </si>
  <si>
    <t>块状</t>
  </si>
  <si>
    <t>LPSO27.9%</t>
  </si>
  <si>
    <t>Mg-1Gd-1Y-2Zn</t>
  </si>
  <si>
    <t>LPSO25.2%,W3.9%</t>
  </si>
  <si>
    <t>W相：鱼骨状；LPSO相网状分布块状</t>
  </si>
  <si>
    <t>LPSO22.8%,W0.9%</t>
  </si>
  <si>
    <t>W：颗粒状，LPSO：块状</t>
  </si>
  <si>
    <t>LPSO：[10-10]</t>
  </si>
  <si>
    <t>W相：1μm</t>
  </si>
  <si>
    <t>LPSO24.6%,W2.6%</t>
  </si>
  <si>
    <t>W：鱼骨状+颗粒状，LPSO：块状</t>
  </si>
  <si>
    <t>LPSO23.3%</t>
  </si>
  <si>
    <t>铸态+挤压</t>
  </si>
  <si>
    <t>挤压比10</t>
  </si>
  <si>
    <t>LPSO26.62%,W3.45%</t>
  </si>
  <si>
    <t>LPSO25.23%W9.48%</t>
  </si>
  <si>
    <t>LPSO21.5%</t>
  </si>
  <si>
    <t>挤压比10，500℃*24h</t>
  </si>
  <si>
    <t>LPSO25.19%,W2.86%</t>
  </si>
  <si>
    <t>LPSO22.86%,W8.59%</t>
  </si>
  <si>
    <t>Mg-1Gd-1Y-1Zn-0.1Ce</t>
  </si>
  <si>
    <t>LPSO22.56%,化合物相2.12%</t>
  </si>
  <si>
    <t>Ce(Mg,Zn)12：长条状</t>
  </si>
  <si>
    <t>Mg-1Gd-1Y-1Zn-0.2Ce</t>
  </si>
  <si>
    <t>LPSO23.79%,化合物相4.68%</t>
  </si>
  <si>
    <t>Mg-1Gd-1Y-1Zn-0.3Ce</t>
  </si>
  <si>
    <t>LPSO23.98%,化合物相7.28%</t>
  </si>
  <si>
    <t>Mg-1Gd-1Y-1Zn-0.1La</t>
  </si>
  <si>
    <t>LPSO23.78%,化合物相3.42%</t>
  </si>
  <si>
    <t>La(Mg,Zn)12：长条状</t>
  </si>
  <si>
    <t>Mg-1Gd-1Y-1Zn-0.2La</t>
  </si>
  <si>
    <t>LPSO22.79%,化合物相7.56%</t>
  </si>
  <si>
    <t>Mg-1Gd-1Y-1Zn-0.3La</t>
  </si>
  <si>
    <t>LPSO23.16%,化合物相12.82%</t>
  </si>
  <si>
    <t>Mg-9Gd-2Y-0.5Zr</t>
  </si>
  <si>
    <t>525℃*6h+225℃*10h</t>
  </si>
  <si>
    <t>高强度Mg-Gd-Y-Zr合金组织和抗蠕变性能研究 - 中国知网 (cnki.net)</t>
  </si>
  <si>
    <t>Mg-11Gd-2Y-0.5Zr</t>
  </si>
  <si>
    <t>Mg-13Gd-2Y-0.5Zr</t>
  </si>
  <si>
    <t>花瓣状（柱面相）</t>
  </si>
  <si>
    <t>(100)β'//(1-210)α，[001]β'//[0001]α</t>
  </si>
  <si>
    <t>0.21nm</t>
  </si>
  <si>
    <t>41nm</t>
  </si>
  <si>
    <t>Mg-15Gd-2Y-0.5Zr</t>
  </si>
  <si>
    <t>Mg-8Gd-4Y-0.6Zn-0.5Zr</t>
  </si>
  <si>
    <t>Mg-8Gd-4Y-xZn合金组织结构和强韧化协同调控研究 - 中国知网 (cnki.net)</t>
  </si>
  <si>
    <t>Mg-8Gd-4Y-1.1Zn-0.5Zr</t>
  </si>
  <si>
    <t>颗粒+片层</t>
  </si>
  <si>
    <t>Mg-8Gd-4Y-1.6Zn-0.5Zr</t>
  </si>
  <si>
    <t>460℃挤压</t>
  </si>
  <si>
    <t>460℃挤压+200℃时效72h</t>
  </si>
  <si>
    <t>Mg-8.5Gd-4.5Y-0.4Zr</t>
  </si>
  <si>
    <t>Mg-Gd-Y-xZn-Zr镁合金组织与性能研究 - 中国知网 (cnki.net)</t>
  </si>
  <si>
    <t>Mg-8.5Gd-4.5Y-0.7Zn-0.4Zr</t>
  </si>
  <si>
    <t>Mg-8.5Gd-4.5Y-1.5Zn-0.4Zr</t>
  </si>
  <si>
    <t>Mg-8.5Gd-4.5Y-3.3Zn-0.4Zr</t>
  </si>
  <si>
    <t>500℃*12h</t>
  </si>
  <si>
    <t>510℃*8h</t>
  </si>
  <si>
    <t>510℃*16h</t>
  </si>
  <si>
    <t>500℃*8h</t>
  </si>
  <si>
    <t>微米级</t>
  </si>
  <si>
    <t>时效</t>
  </si>
  <si>
    <t>等轴</t>
  </si>
  <si>
    <t>8nm</t>
  </si>
  <si>
    <t>Mg-6Zn-1Mn</t>
  </si>
  <si>
    <t>Gd元素对Mg-Zn-Mn系变形镁合金组织与性能的影响研究 - 中国知网 (cnki.net)</t>
  </si>
  <si>
    <t>Mg-6Zn-1Mn-0.2Gd</t>
  </si>
  <si>
    <t>Mg-6Zn-1Mn-1Gd</t>
  </si>
  <si>
    <t>Mg-6Zn-1Mn-3Gd</t>
  </si>
  <si>
    <t>Mg-6Gd-3Y-1Zn-0.4Zr</t>
  </si>
  <si>
    <t>Mg-Gd-Y-Zn-Zr-xAg合金锻造变形及时效强化行为研究 - 中国知网 (cnki.net)</t>
  </si>
  <si>
    <t>Mg-6Gd-3Y-1Zn-0.4Zr-0.1Ag</t>
  </si>
  <si>
    <t>Mg-6Gd-3Y-1Zn-0.4Zr-0.3Ag</t>
  </si>
  <si>
    <t>Mg-6Gd-3Y-1Zn-0.4Zr-0.5Ag</t>
  </si>
  <si>
    <t>Mg-6Gd-3Y-1Zn-0.4Zr-0.7Ag</t>
  </si>
  <si>
    <t>510℃*24h均匀化</t>
  </si>
  <si>
    <t>β':0.23%</t>
  </si>
  <si>
    <t>椭圆状相(β')+片层状相(LPSO)</t>
  </si>
  <si>
    <t>β':8.02nm</t>
  </si>
  <si>
    <t>β':22.013nm</t>
  </si>
  <si>
    <t>峰时效</t>
  </si>
  <si>
    <t>β':0.18%,γ':0.07%</t>
  </si>
  <si>
    <t>椭圆状相(β')+片层状相(LPSO)+纳米级盘状相（γ''）</t>
  </si>
  <si>
    <t>β':6.81,γ'':0.5nm</t>
  </si>
  <si>
    <t>β':15.67γ'':40nm</t>
  </si>
  <si>
    <t>γ'':0.5nm</t>
  </si>
  <si>
    <t>γ'':40nm</t>
  </si>
  <si>
    <t xml:space="preserve"> Mg-6Gd-1Sm-0.5Zr</t>
  </si>
  <si>
    <t>颗粒状fcc</t>
  </si>
  <si>
    <t>Mg-Gd(-Y-Sm-Zr)耐热镁合金组织和性能研究 - 中国知网 (cnki.net)</t>
  </si>
  <si>
    <t>Mg-9Gd-1Sm-0.5Zr</t>
  </si>
  <si>
    <t>网状fcc</t>
  </si>
  <si>
    <t xml:space="preserve">Mg-12Gd-1Sm-0.5Zr </t>
  </si>
  <si>
    <t>Mg-15Gd-1Sm-0.5Zr</t>
  </si>
  <si>
    <t>Mg-6Gd-1Sm-0.5Zr</t>
  </si>
  <si>
    <t>颗粒状</t>
  </si>
  <si>
    <t>颗粒状+细条状</t>
  </si>
  <si>
    <t>网状</t>
  </si>
  <si>
    <t xml:space="preserve">Mg-12Gd-1Y-1Sm-0.5Zr </t>
  </si>
  <si>
    <t>断续网状</t>
  </si>
  <si>
    <t xml:space="preserve">Mg-12Gd-1Y-3Sm-0.5Zr </t>
  </si>
  <si>
    <t xml:space="preserve">Mg-12Gd-1Y-5Sm-0.5Zr </t>
  </si>
  <si>
    <t>Mg-2.8Gd-0.1Zr</t>
  </si>
  <si>
    <t>片层状</t>
  </si>
  <si>
    <t>Ag对Mg-Gd（-Y）-Zr合金微观组织、力学性能和腐蚀行为的影响 - 中国知网 (cnki.net)</t>
  </si>
  <si>
    <t>Mg-2.8Y-0.1Zr</t>
  </si>
  <si>
    <t>Mg-2.4Gd-0.4Ag-0.1Zr</t>
  </si>
  <si>
    <t xml:space="preserve">Mg-2.4Y-0.4Ag-0.1Zr </t>
  </si>
  <si>
    <t>Mg-1.6Gd-0.8Y-0.4Ag-0.1Zr</t>
  </si>
  <si>
    <t>Mg-0.8Gd-1.6Y-0.4Ag-0.1Zr</t>
  </si>
  <si>
    <t>方块状</t>
  </si>
  <si>
    <t>5μm</t>
  </si>
  <si>
    <t>500℃*6h</t>
  </si>
  <si>
    <t>细小方块</t>
  </si>
  <si>
    <t>1μm</t>
  </si>
  <si>
    <t>Mg-2.4Y-0.4Ag-0.1Zr</t>
  </si>
  <si>
    <t xml:space="preserve">Mg-2.8Gd-0.1Zr </t>
  </si>
  <si>
    <t>500℃*6h+200℃峰时效</t>
  </si>
  <si>
    <t>β':0.14, (γ''+γ'''):0.05</t>
  </si>
  <si>
    <t>γ''+γ''':0.03</t>
  </si>
  <si>
    <t>β':0.11, (γ''+γ'''):0.03</t>
  </si>
  <si>
    <t>β':0.10, (γ''+γ'''):0.02</t>
  </si>
  <si>
    <t xml:space="preserve">Mg-15Gd-0.4Zr </t>
  </si>
  <si>
    <t>6.3%(面积比)</t>
  </si>
  <si>
    <t>高强度Mg-Gd-Zn系镁合金的研发及强化机理研究 - 中国知网 (cnki.net)</t>
  </si>
  <si>
    <t>Mg-15Gd-1Zn-0.4Zr</t>
  </si>
  <si>
    <t>(Mg, Zn)3Gd: 9.7%(面积比)</t>
  </si>
  <si>
    <t>Mg-15Gd-0.4Zr</t>
  </si>
  <si>
    <t>520℃*12h</t>
  </si>
  <si>
    <t xml:space="preserve">Mg-15Gd-1Zn-0.4Zr </t>
  </si>
  <si>
    <t>3.7%(面积比)</t>
  </si>
  <si>
    <t>(Mg, Zn)3Gd:块状，Zn2Zr3棒状</t>
  </si>
  <si>
    <t>6.2nm</t>
  </si>
  <si>
    <t>520℃*12h+200℃峰时效</t>
  </si>
  <si>
    <t>1+柱面</t>
  </si>
  <si>
    <t>γ': 1.6nm</t>
  </si>
  <si>
    <t>β': 8.6nm</t>
  </si>
  <si>
    <t>Mg-15Gd-1Zn</t>
  </si>
  <si>
    <t xml:space="preserve">Mg-15Gd-1Zn-0.4Mn </t>
  </si>
  <si>
    <t xml:space="preserve">Mg-15Gd-1Zn </t>
  </si>
  <si>
    <t>(Mg, Zn)3Gd: 2.5%(面积比), 14H LPSO: 1.3%(面积比)</t>
  </si>
  <si>
    <t>Mg-15Gd-1Zn-0.4Mn</t>
  </si>
  <si>
    <t>4%(面积比)</t>
  </si>
  <si>
    <t>200℃峰时效</t>
  </si>
  <si>
    <t xml:space="preserve">Mg-13Gd-1Y-1Zn-0.4Zr </t>
  </si>
  <si>
    <t>Mg-13Gd-1Y-1Zn-0.4Mn</t>
  </si>
  <si>
    <t>Mg-13Gd-1Y-1Zn-0.4Zr</t>
  </si>
  <si>
    <t xml:space="preserve">Mg-13Gd-1Y-1Zn-0.4Mn </t>
  </si>
  <si>
    <t>Mg-15.2Gd-1.5Zn-0.3Zr</t>
  </si>
  <si>
    <t>新型超高强Mg-Gd-Y-Zn-Zr合金的成分设计及热处理工艺优化 - 中国知网 (cnki.net)</t>
  </si>
  <si>
    <t>Mg-12.7Gd-2.6Y-1.6Zn-0.4Zr</t>
  </si>
  <si>
    <t>Mg-10.4Gd-4.5Y-1.7Zn-0.4Zr</t>
  </si>
  <si>
    <t>Mg-9.7Gd-5.8Y-1.6Zn-0.3Z</t>
  </si>
  <si>
    <t>Mg-7.5Gd-7.4Y-1.4Zn-0.3Zr</t>
  </si>
  <si>
    <t>Mg-6.1Gd-9.1Y-1.6zn-0.4Zr</t>
  </si>
  <si>
    <t>Mg-4.9Gd-10.5Y-1.6Zn-0.3Zr</t>
  </si>
  <si>
    <t>Mg-11.8Gd-4.6Y-1.6Zn-0.4Zr</t>
  </si>
  <si>
    <t>Mg-13.6Gd-4.9Y-1.7Zn-0.4Zr</t>
  </si>
  <si>
    <t>Mg-12.9Gd-3.6Y-1.7Zn-0.4Zr</t>
  </si>
  <si>
    <t>Mg-12.6Gd-5.2Y-1.7Zn-0.4Zr</t>
  </si>
  <si>
    <t>Mg-10Gd-6Y-1.6Zn</t>
  </si>
  <si>
    <t>挤压</t>
  </si>
  <si>
    <t>高性能Mg-Gd-Y-Zn-Mn合金组织与力学性能研究 - 中国知网 (cnki.net)</t>
  </si>
  <si>
    <t>Mg-10Gd-6Y-1.6Zn-0.4Mn</t>
  </si>
  <si>
    <t>Mg-10Gd-6Y-1.6Zn-0.8Mn</t>
  </si>
  <si>
    <t>Mg-10Gd-6Y-1.6Zn-1.2Mn</t>
  </si>
  <si>
    <t>Mg-10Gd-6Y-1.6Zn-1.6Mn</t>
  </si>
  <si>
    <t>Mg-10Gd-6Y-1.6Zn-2Mn</t>
  </si>
  <si>
    <t>Mg-1Gd-1Y-0.2Zn</t>
  </si>
  <si>
    <t>Ca及Yb的添加对Mg-Gd-Y-Zn合金组织、力学性能及阻燃性能的影响 - 中国知网 (cnki.net)</t>
  </si>
  <si>
    <t>Mg-1Gd-1Y-0.2Zn-0.3Ca</t>
  </si>
  <si>
    <t>Mg-1Gd-1Y-0.2Zn-0.6Ca</t>
  </si>
  <si>
    <t>Mg-1Gd-1Y-0.2Zn-0.9Ca</t>
  </si>
  <si>
    <t>Mg-1Gd-1Y-0.2Zn-1.2Ca</t>
  </si>
  <si>
    <t>Mg-1Gd-1Y-0.2Zn-0.3Yb</t>
  </si>
  <si>
    <t>Mg-1Gd-1Y-0.2Zn-0.6Yb</t>
  </si>
  <si>
    <t>Mg-1Gd-1Y-0.2Zn-0.9Yb</t>
  </si>
  <si>
    <t>Mg-1Gd-1Y-0.2Zn-1.2Yb</t>
  </si>
  <si>
    <t>Mg-1Gd-1Y-0.2Zn-0.3Ca-0.6Yb</t>
  </si>
  <si>
    <t>Mg-1Gd-1Y-0.2Zn-0.45Ca-0.45Yb</t>
  </si>
  <si>
    <t>Mg-1Gd-1Y-0.2Zn-0.6Ca-0.3Yb</t>
  </si>
  <si>
    <t>240204数据编号</t>
  </si>
  <si>
    <t>Mg-7.6Al-0.5Zn-1Ca</t>
  </si>
  <si>
    <t>β-Mg17Al12骨骼片层+Al2Ca片层</t>
  </si>
  <si>
    <r>
      <rPr>
        <sz val="12"/>
        <color theme="1"/>
        <rFont val="Times New Roman"/>
        <charset val="134"/>
      </rPr>
      <t>1+</t>
    </r>
    <r>
      <rPr>
        <sz val="12"/>
        <color theme="1"/>
        <rFont val="SimSun"/>
        <charset val="134"/>
      </rPr>
      <t>柱面</t>
    </r>
  </si>
  <si>
    <t>流变挤压铸造AZ91-Ca合金微观组织和力学行为研究 - 中国知网 (cnki.net)</t>
  </si>
  <si>
    <t>β-Mg17Al12弥散片层+Al2Ca片层</t>
  </si>
  <si>
    <t>流变挤压铸造AZ92-Ca合金微观组织和力学行为研究 - 中国知网 (cnki.net)</t>
  </si>
  <si>
    <t>β-Mg17Al12颗粒状+Al2Ca弥散片层</t>
  </si>
  <si>
    <t>流变挤压铸造AZ93-Ca合金微观组织和力学行为研究 - 中国知网 (cnki.net)</t>
  </si>
  <si>
    <t>β-Mg17Al12颗粒状+Al2Ca颗粒状</t>
  </si>
  <si>
    <t>流变挤压铸造AZ94-Ca合金微观组织和力学行为研究 - 中国知网 (cnki.net)</t>
  </si>
  <si>
    <t>流变挤压铸造AZ95-Ca合金微观组织和力学行为研究 - 中国知网 (cnki.net)</t>
  </si>
  <si>
    <t>流变挤压铸造AZ96-Ca合金微观组织和力学行为研究 - 中国知网 (cnki.net)</t>
  </si>
  <si>
    <t>Mg-3Al-1Zn</t>
  </si>
  <si>
    <t xml:space="preserve"> β-Mg17Al12颗粒状</t>
  </si>
  <si>
    <t>AZ31-xNd镁合金熔炼、组织与性能的研究 - 中国知网 (cnki.net)</t>
  </si>
  <si>
    <t>Mg-3Al-1Zn-0.3Nd</t>
  </si>
  <si>
    <t xml:space="preserve"> β-Mg17Al12颗粒状+Al2Nd针状</t>
  </si>
  <si>
    <t>Al2Nd 15μm</t>
  </si>
  <si>
    <t>Al2Nd 1μm</t>
  </si>
  <si>
    <t>AZ32-xNd镁合金熔炼、组织与性能的研究 - 中国知网 (cnki.net)</t>
  </si>
  <si>
    <t>Mg-3Al-1Zn-0.6Nd</t>
  </si>
  <si>
    <t xml:space="preserve"> β-Mg17Al12颗粒状+Al2Nd针状+Mg12Nd颗粒状</t>
  </si>
  <si>
    <t>MgNd 3μm</t>
  </si>
  <si>
    <t>AZ33-xNd镁合金熔炼、组织与性能的研究 - 中国知网 (cnki.net)</t>
  </si>
  <si>
    <t>Mg-3Al-1Zn-0.9Nd</t>
  </si>
  <si>
    <t>AZ34-xNd镁合金熔炼、组织与性能的研究 - 中国知网 (cnki.net)</t>
  </si>
  <si>
    <t>Mg-3Al-1Zn-1.2Nd</t>
  </si>
  <si>
    <t>AZ35-xNd镁合金熔炼、组织与性能的研究 - 中国知网 (cnki.net)</t>
  </si>
  <si>
    <t>Mg-3Al-1Zn-1.5Nd</t>
  </si>
  <si>
    <t>AZ36-xNd镁合金熔炼、组织与性能的研究 - 中国知网 (cnki.net)</t>
  </si>
  <si>
    <r>
      <rPr>
        <sz val="12"/>
        <color rgb="FFFF0000"/>
        <rFont val="宋体"/>
        <charset val="134"/>
        <scheme val="minor"/>
      </rPr>
      <t>443K</t>
    </r>
    <r>
      <rPr>
        <sz val="12"/>
        <color theme="1"/>
        <rFont val="宋体"/>
        <charset val="134"/>
        <scheme val="minor"/>
      </rPr>
      <t>均匀化12h，95%挤压</t>
    </r>
  </si>
  <si>
    <t>AZ37-xNd镁合金熔炼、组织与性能的研究 - 中国知网 (cnki.net)</t>
  </si>
  <si>
    <t xml:space="preserve"> β-Mg17Al12小颗粒状+Al2Nd短棒状</t>
  </si>
  <si>
    <t>Al2Nd 3μm</t>
  </si>
  <si>
    <t>AZ38-xNd镁合金熔炼、组织与性能的研究 - 中国知网 (cnki.net)</t>
  </si>
  <si>
    <t>MgNd 2μm</t>
  </si>
  <si>
    <t>AZ39-xNd镁合金熔炼、组织与性能的研究 - 中国知网 (cnki.net)</t>
  </si>
  <si>
    <t>AZ40-xNd镁合金熔炼、组织与性能的研究 - 中国知网 (cnki.net)</t>
  </si>
  <si>
    <t>AZ41-xNd镁合金熔炼、组织与性能的研究 - 中国知网 (cnki.net)</t>
  </si>
  <si>
    <t>AZ42-xNd镁合金熔炼、组织与性能的研究 - 中国知网 (cnki.net)</t>
  </si>
  <si>
    <t>Mg-9Al-1Zn-0.15Gd-0.05Y</t>
  </si>
  <si>
    <t>Mg17Al12骨骼状+Al2Gd颗粒状</t>
  </si>
  <si>
    <t>Mg-Al-Zn-Ni-Gd-Y可溶镁合金组织与性能的研究 - 中国知网 (cnki.net)</t>
  </si>
  <si>
    <t>Mg-9Al-1Zn-0.1Ni-0.15Gd-0.05Y</t>
  </si>
  <si>
    <t>Mg-9Al-1Zn-0.2Ni-0.15Gd-0.05Y</t>
  </si>
  <si>
    <t>Mg17Al12骨骼状+Al3Ni(Gd,Y)针状</t>
  </si>
  <si>
    <t>Mg-9Al-1Zn-0.3Ni-0.15Gd-0.05Y</t>
  </si>
  <si>
    <t>Mg17Al12g骨骼状+Al3Ni(Gd,Y)针状+Al9Ni3(Gd,Y)针状</t>
  </si>
  <si>
    <t>Mg-9Al-1Zn-0.4Ni-0.15Gd-0.05Y</t>
  </si>
  <si>
    <t>Mg-9Al-1Zn-0.6Ni-0.15Gd-0.05Y</t>
  </si>
  <si>
    <t>Mg-9Al-1Zn-0.8Ni-0.15Gd-0.05Y</t>
  </si>
  <si>
    <t>Mg-9Al-1Zn-1.0Ni-0.15Gd-0.05Y</t>
  </si>
  <si>
    <t>Mg17Al12g骨骼状+Al9Ni3(Gd,Y)针状+Al3Ni颗粒状</t>
  </si>
  <si>
    <t>Mg-9Al-1Zn-0.4Ni-0.05Y</t>
  </si>
  <si>
    <t>Mg17Al12g骨骼状+Al3Ni颗粒状</t>
  </si>
  <si>
    <t>Mg-9Al-1Zn-0.4Ni-0.1Gd-0.05Y</t>
  </si>
  <si>
    <t>Mg-9Al-1Zn-0.4Ni-0.12Gd-0.05Y</t>
  </si>
  <si>
    <t>Mg-9Al-1Zn-0.4Ni-0.4Gd-0.05Y</t>
  </si>
  <si>
    <t>Mg17Al12球形</t>
  </si>
  <si>
    <t>300~600nm</t>
  </si>
  <si>
    <r>
      <rPr>
        <sz val="12"/>
        <color theme="1"/>
        <rFont val="SimSun"/>
        <charset val="134"/>
      </rPr>
      <t>铸造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挤压</t>
    </r>
  </si>
  <si>
    <r>
      <rPr>
        <sz val="12"/>
        <color theme="1"/>
        <rFont val="SimSun"/>
        <charset val="134"/>
      </rPr>
      <t>挤压比</t>
    </r>
    <r>
      <rPr>
        <sz val="12"/>
        <color theme="1"/>
        <rFont val="Times New Roman"/>
        <charset val="134"/>
      </rPr>
      <t>12.25</t>
    </r>
  </si>
  <si>
    <t>Mg17Al12粗大不连续</t>
  </si>
  <si>
    <t>400℃+挤压比12.25</t>
  </si>
  <si>
    <t>Mg17Al12针状、椭圆状、层状</t>
  </si>
  <si>
    <t>Mg-8.5Al-0.75Zn-0.25Mn</t>
  </si>
  <si>
    <t>粗大骨骼状</t>
  </si>
  <si>
    <t>稀土改性AZ91镁合金组织及腐蚀性能 - 中国知网 (cnki.net)</t>
  </si>
  <si>
    <t>Mg-8.5Al-0.75Zn-0.25Mn-0.1Nd</t>
  </si>
  <si>
    <t>岛状</t>
  </si>
  <si>
    <t>Mg-8.5Al-0.75Zn-0.25Mn-0.3Nd</t>
  </si>
  <si>
    <t>Mg17Al12岛状+Al2Nd颗粒状短针状</t>
  </si>
  <si>
    <t>Mg-8.5Al-0.75Zn-0.25Mn-0.6Nd</t>
  </si>
  <si>
    <t>Mg-8.5Al-0.75Zn-0.25Mn-1.0Nd</t>
  </si>
  <si>
    <t>Mg-8.5Al-0.75Zn-0.25Mn-1.6Nd</t>
  </si>
  <si>
    <t>Mg-8.5Al-0.75Zn-0.25Mn-0.1Ho</t>
  </si>
  <si>
    <t>Mg17Al12岛状+Al2Ho颗粒状</t>
  </si>
  <si>
    <t>Mg-8.5Al-0.75Zn-0.25Mn-1.0Ho</t>
  </si>
  <si>
    <t>Mg17Al12颗粒状+Al2Ho颗粒状</t>
  </si>
  <si>
    <t>Mg-8.5Al-0.75Zn-0.25Mn-2Ho</t>
  </si>
  <si>
    <t>Mg-8.5Al-0.7Zn</t>
  </si>
  <si>
    <t>Mg17Al12：19.27%</t>
  </si>
  <si>
    <t>条带状</t>
  </si>
  <si>
    <t>La和Nd复合添加AZ91镁合金显微组织调控及强化机理 - 中国知网 (cnki.net)</t>
  </si>
  <si>
    <t>Mg-8.5Al-0.7Zn-0.5La-1.5Nd</t>
  </si>
  <si>
    <t>Mg17Al12：7.95%</t>
  </si>
  <si>
    <t>Mg17Al12块状+Al2Nd针状+Al11La3颗粒状+Al11Nd3颗粒状</t>
  </si>
  <si>
    <t>Al2RE：2.14μm</t>
  </si>
  <si>
    <t>Al11RE3：81.62μm</t>
  </si>
  <si>
    <t>La和Nd复合添加AZ92镁合金显微组织调控及强化机理 - 中国知网 (cnki.net)</t>
  </si>
  <si>
    <t>Mg-8.5Al-0.7Zn-0.7La-1.2Nd</t>
  </si>
  <si>
    <t>Mg17Al12：6.96%</t>
  </si>
  <si>
    <t>Al2RE：1.73μm</t>
  </si>
  <si>
    <t>Al11RE3：78.11μm</t>
  </si>
  <si>
    <t>La和Nd复合添加AZ93镁合金显微组织调控及强化机理 - 中国知网 (cnki.net)</t>
  </si>
  <si>
    <t>Mg-8.5Al-0.7Zn-1La-1Nd</t>
  </si>
  <si>
    <t>Mg17Al12：5.43%</t>
  </si>
  <si>
    <t>Mg17Al12块状+Al2La针状+Al11La3颗粒状+Al11Nd3颗粒状</t>
  </si>
  <si>
    <t>Al2RE：1.24μm</t>
  </si>
  <si>
    <t>Al11RE3：72.75μm</t>
  </si>
  <si>
    <t>La和Nd复合添加AZ94镁合金显微组织调控及强化机理 - 中国知网 (cnki.net)</t>
  </si>
  <si>
    <t>Mg-8.5Al-0.7Zn-1.2La-0.7Nd</t>
  </si>
  <si>
    <t>Mg17Al12：3.65%</t>
  </si>
  <si>
    <t>Al2RE：0.92μm</t>
  </si>
  <si>
    <t>Al11RE3：67.86μm</t>
  </si>
  <si>
    <t>La和Nd复合添加AZ95镁合金显微组织调控及强化机理 - 中国知网 (cnki.net)</t>
  </si>
  <si>
    <t>Mg-8.5Al-0.7Zn-1.5La-0.5Nd</t>
  </si>
  <si>
    <t>Mg17Al12：3.96%</t>
  </si>
  <si>
    <t>Al2RE：0.89μm</t>
  </si>
  <si>
    <t>Al11RE3：67.42μm</t>
  </si>
  <si>
    <t>La和Nd复合添加AZ96镁合金显微组织调控及强化机理 - 中国知网 (cnki.net)</t>
  </si>
  <si>
    <t>Mg-3Sn-2Al-1Zn-5Li</t>
  </si>
  <si>
    <t>Mg-xSn-2Al-1Zn-5Li（x=3、4）镁合金变形行为、组织演变及力学性能的研究 - 中国知网 (cnki.net)</t>
  </si>
  <si>
    <t>Mg-4Sn-2Al-1Zn-5Li</t>
  </si>
  <si>
    <t>Mg-4Al-0.4Mn</t>
  </si>
  <si>
    <t>Mg17Al12骨骼状+Al6Mn块状</t>
  </si>
  <si>
    <t>Sn、Sr复合添加对Mg-4Al-0.4Mn镁合金显微组织和力学性能的影响 - 中国知网 (cnki.net)</t>
  </si>
  <si>
    <t>Mg-4Al-0.4Mn-0.4Sn-0.2Sr</t>
  </si>
  <si>
    <t>Mg17Al12骨骼状+Al6Mn块状+Mg2Sn颗粒状+Al4Sr长条状</t>
  </si>
  <si>
    <t>Sn、Sr复合添加对Mg-4Al-0.5Mn镁合金显微组织和力学性能的影响 - 中国知网 (cnki.net)</t>
  </si>
  <si>
    <t>Mg-4Al-0.4Mn-0.8Sn-0.4Sr</t>
  </si>
  <si>
    <t>Mg17Al12细网状不连续分布+Al6Mn块状+Mg2Sn颗粒状+Al5Sr长条状</t>
  </si>
  <si>
    <t>Sn、Sr复合添加对Mg-4Al-0.6Mn镁合金显微组织和力学性能的影响 - 中国知网 (cnki.net)</t>
  </si>
  <si>
    <t>Mg-4Al-0.4Mn-1.2Sn-0.6Sr</t>
  </si>
  <si>
    <t>Mg17Al12细网状不连续分布+Al6Mn块状+Mg2Sn颗粒状+Al6Sr长条状</t>
  </si>
  <si>
    <t>Sn、Sr复合添加对Mg-4Al-0.7Mn镁合金显微组织和力学性能的影响 - 中国知网 (cnki.net)</t>
  </si>
  <si>
    <t>Mg-4Al-0.4Mn-1.6Sn-0.8Sr</t>
  </si>
  <si>
    <t>Mg17Al12细网状不连续分布+Al6Mn块状+Mg2Sn颗粒状+Al7Sr长条状</t>
  </si>
  <si>
    <t>Sn、Sr复合添加对Mg-4Al-0.8Mn镁合金显微组织和力学性能的影响 - 中国知网 (cnki.net)</t>
  </si>
  <si>
    <t>Mg-6Al-5Zn-4Ca-5Gd</t>
  </si>
  <si>
    <t>Mg25(Al,Zn)37.5网状+Al2Gd颗粒状+CaZn5小块状</t>
  </si>
  <si>
    <t>Ca的添加对AZ系镁合金显微组织和力学性能的影响 - 中国知网 (cnki.net)</t>
  </si>
  <si>
    <t>Mg-6Al-5Zn-5Ca-5Gd</t>
  </si>
  <si>
    <t>Mg25(Al,Zn)37.5网状+Al2Gd颗粒状+CaZn6小块状</t>
  </si>
  <si>
    <t>Mg-6Al-5Zn-6Ca-5Gd</t>
  </si>
  <si>
    <t>Mg25(Al,Zn)37.5不连续网状+Al2Gd颗粒状+CaZn7小块状</t>
  </si>
  <si>
    <t>Mg-6Al-5Zn-7Ca-5Gd</t>
  </si>
  <si>
    <t>Mg25(Al,Zn)37.5网状+Al2Gd颗粒状+CaZn8小块状</t>
  </si>
  <si>
    <r>
      <rPr>
        <sz val="12"/>
        <color theme="1"/>
        <rFont val="SimSun"/>
        <charset val="134"/>
      </rPr>
      <t>铸造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固溶</t>
    </r>
  </si>
  <si>
    <t>390℃*8h固溶</t>
  </si>
  <si>
    <t>Mg25(Al,Zn)37.5短棒状+Al2Gd颗粒状+CaZn7小块状</t>
  </si>
  <si>
    <t>Mg25(Al,Zn)37.5颗粒状+Al2Gd颗粒状+CaZn7小块状</t>
  </si>
  <si>
    <r>
      <rPr>
        <sz val="12"/>
        <color theme="1"/>
        <rFont val="SimSun"/>
        <charset val="134"/>
      </rPr>
      <t>铸造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固溶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时效</t>
    </r>
  </si>
  <si>
    <t>390℃*8h固溶+200℃*12h时效</t>
  </si>
  <si>
    <t>Mg25(Al,Zn)37.短棒状+Al2Gd颗粒状+CaZn7小块状</t>
  </si>
  <si>
    <t>Mg-2Al-6Zn-0.2Mn</t>
  </si>
  <si>
    <t>粗大块状</t>
  </si>
  <si>
    <t>Sn、Ca合金化对ZA62镁合金显微组织和力学性能的影响 - 中国知网 (cnki.net)</t>
  </si>
  <si>
    <t>Mg-2Al-6Zn-0.5Sn-0.2Mn</t>
  </si>
  <si>
    <t>MgZn不规则粗大块状+Mg2Sn颗粒状</t>
  </si>
  <si>
    <t>Sn、Ca合金化对ZA63镁合金显微组织和力学性能的影响 - 中国知网 (cnki.net)</t>
  </si>
  <si>
    <t>Mg-2Al-6Zn-1Sn-0.2Mn</t>
  </si>
  <si>
    <t>Sn、Ca合金化对ZA64镁合金显微组织和力学性能的影响 - 中国知网 (cnki.net)</t>
  </si>
  <si>
    <t>Mg-2Al-6Zn-2Sn-0.2Mn</t>
  </si>
  <si>
    <t>Sn、Ca合金化对ZA65镁合金显微组织和力学性能的影响 - 中国知网 (cnki.net)</t>
  </si>
  <si>
    <t>Mg-2Al-6Zn-3Sn-0.2Mn</t>
  </si>
  <si>
    <t>Sn、Ca合金化对ZA66镁合金显微组织和力学性能的影响 - 中国知网 (cnki.net)</t>
  </si>
  <si>
    <t>Mg-6Al-Zn</t>
  </si>
  <si>
    <t>不连续骨骼状</t>
  </si>
  <si>
    <t>稀土元素Y、Gd对AZ61镁合金组织及性能的影响 - 中国知网 (cnki.net)</t>
  </si>
  <si>
    <t>Mg-6Al-Zn-0.3Y-0.6Gd</t>
  </si>
  <si>
    <t>Mg17Al12不连续骨骼状+Al2Y, Al2Gd颗粒状</t>
  </si>
  <si>
    <t>Mg-6Al-Zn-0.6Y-1.2Gd</t>
  </si>
  <si>
    <t>Mg-6Al-Zn-0.9Y-1.8Gd</t>
  </si>
  <si>
    <t>Mg-6Al-Zn-1.2Y-2.4Gd</t>
  </si>
  <si>
    <t>粒状或小块状</t>
  </si>
  <si>
    <t>420℃固溶</t>
  </si>
  <si>
    <t>不连续网状</t>
  </si>
  <si>
    <t>Ca和Sm复合微合金化对AZ31合金组织和力学性能的影响 - 中国知网 (cnki.net)</t>
  </si>
  <si>
    <t>Mg-3Al-1Zn-0.3Ca-0.3Sm</t>
  </si>
  <si>
    <t>Mg17Al12不连续网状+Al2Ca, Al11Sm3颗粒</t>
  </si>
  <si>
    <t>Ca和Sm复合微合金化对AZ32合金组织和力学性能的影响 - 中国知网 (cnki.net)</t>
  </si>
  <si>
    <t>Mg-9Al-1Zn</t>
  </si>
  <si>
    <t>铈、钙和电磁搅拌对AZ91镁合金显微组织与力学性能的影响 - 中国知网 (cnki.net)</t>
  </si>
  <si>
    <t>Mg-9Al-1Zn-0.2Ce</t>
  </si>
  <si>
    <t>Mg17Al12网状+AlxCe颗粒状</t>
  </si>
  <si>
    <t>Mg-9Al-1Zn-0.5Ce</t>
  </si>
  <si>
    <t>Mg17Al12不连续网状+AlxCe颗粒状</t>
  </si>
  <si>
    <t>Mg-9Al-1Zn-0.8Ce</t>
  </si>
  <si>
    <t>Mg-6Al</t>
  </si>
  <si>
    <t>镁合金的合金化及组织性能研究 - 中国知网 (cnki.net)</t>
  </si>
  <si>
    <t>Mg-6Al-0.5Ca</t>
  </si>
  <si>
    <t>Mg17Al12不连续网状</t>
  </si>
  <si>
    <t>Mg-6Al-1Ca</t>
  </si>
  <si>
    <t>Mg17Al12不连续网状+Al2Ca鱼骨状</t>
  </si>
  <si>
    <t>Mg-6Al-2Ca</t>
  </si>
  <si>
    <t>Mg17Al12不连续网状+Al3Ca鱼骨状</t>
  </si>
  <si>
    <t>Mg-6Al-3Ca</t>
  </si>
  <si>
    <t>Mg17Al12不连续网状+Al4Ca鱼骨状</t>
  </si>
  <si>
    <r>
      <rPr>
        <sz val="12"/>
        <color theme="1"/>
        <rFont val="Times New Roman"/>
        <charset val="134"/>
      </rPr>
      <t>240924</t>
    </r>
    <r>
      <rPr>
        <sz val="12"/>
        <color theme="1"/>
        <rFont val="等线"/>
        <charset val="134"/>
      </rPr>
      <t>数据编号</t>
    </r>
  </si>
  <si>
    <t xml:space="preserve">3Al-1Zn-0.3Mn </t>
  </si>
  <si>
    <t>doi:10.1016/j.matlet.2008.05.045</t>
  </si>
  <si>
    <t>3Al-1Zn-1Mn</t>
  </si>
  <si>
    <r>
      <rPr>
        <sz val="12"/>
        <color theme="1"/>
        <rFont val="Times New Roman"/>
        <charset val="134"/>
      </rPr>
      <t>175°C</t>
    </r>
    <r>
      <rPr>
        <sz val="12"/>
        <color theme="1"/>
        <rFont val="SimSun"/>
        <charset val="134"/>
      </rPr>
      <t>挤压</t>
    </r>
  </si>
  <si>
    <t>https://doi.org/10.1016/j.actamat.2018.08.045</t>
  </si>
  <si>
    <r>
      <rPr>
        <sz val="12"/>
        <color theme="1"/>
        <rFont val="Times New Roman"/>
        <charset val="134"/>
      </rPr>
      <t>300°C</t>
    </r>
    <r>
      <rPr>
        <sz val="12"/>
        <color theme="1"/>
        <rFont val="SimSun"/>
        <charset val="134"/>
      </rPr>
      <t>挤压</t>
    </r>
  </si>
  <si>
    <r>
      <rPr>
        <sz val="12"/>
        <color theme="1"/>
        <rFont val="Times New Roman"/>
        <charset val="134"/>
      </rPr>
      <t>400°C</t>
    </r>
    <r>
      <rPr>
        <sz val="12"/>
        <color theme="1"/>
        <rFont val="SimSun"/>
        <charset val="134"/>
      </rPr>
      <t>挤压</t>
    </r>
  </si>
  <si>
    <t>Mg-1Zn</t>
  </si>
  <si>
    <r>
      <rPr>
        <sz val="12"/>
        <color theme="1"/>
        <rFont val="Times New Roman"/>
        <charset val="134"/>
      </rPr>
      <t>150°C</t>
    </r>
    <r>
      <rPr>
        <sz val="12"/>
        <color theme="1"/>
        <rFont val="SimSun"/>
        <charset val="134"/>
      </rPr>
      <t>挤压</t>
    </r>
  </si>
  <si>
    <r>
      <rPr>
        <sz val="12"/>
        <color theme="1"/>
        <rFont val="Times New Roman"/>
        <charset val="134"/>
      </rPr>
      <t>225°C</t>
    </r>
    <r>
      <rPr>
        <sz val="12"/>
        <color theme="1"/>
        <rFont val="SimSun"/>
        <charset val="134"/>
      </rPr>
      <t>挤压</t>
    </r>
  </si>
  <si>
    <r>
      <rPr>
        <sz val="12"/>
        <color theme="1"/>
        <rFont val="Times New Roman"/>
        <charset val="134"/>
      </rPr>
      <t>250°C</t>
    </r>
    <r>
      <rPr>
        <sz val="12"/>
        <color theme="1"/>
        <rFont val="SimSun"/>
        <charset val="134"/>
      </rPr>
      <t>挤压</t>
    </r>
  </si>
  <si>
    <t xml:space="preserve">http://dx.doi.org/10.1016/j.msea.2013.09.050 </t>
  </si>
  <si>
    <r>
      <rPr>
        <sz val="12"/>
        <color rgb="FF000000"/>
        <rFont val="Times New Roman"/>
        <charset val="134"/>
      </rPr>
      <t>300°C</t>
    </r>
    <r>
      <rPr>
        <sz val="12"/>
        <color rgb="FF000000"/>
        <rFont val="SimSun"/>
        <charset val="134"/>
      </rPr>
      <t>挤压</t>
    </r>
  </si>
  <si>
    <r>
      <rPr>
        <sz val="12"/>
        <color rgb="FF000000"/>
        <rFont val="Times New Roman"/>
        <charset val="134"/>
      </rPr>
      <t>400°C</t>
    </r>
    <r>
      <rPr>
        <sz val="12"/>
        <color rgb="FF000000"/>
        <rFont val="SimSun"/>
        <charset val="134"/>
      </rPr>
      <t>挤压</t>
    </r>
  </si>
  <si>
    <r>
      <rPr>
        <sz val="12"/>
        <color rgb="FF000000"/>
        <rFont val="Times New Roman"/>
        <charset val="134"/>
      </rPr>
      <t>320°C</t>
    </r>
    <r>
      <rPr>
        <sz val="12"/>
        <color rgb="FF000000"/>
        <rFont val="SimSun"/>
        <charset val="134"/>
      </rPr>
      <t>挤压</t>
    </r>
  </si>
  <si>
    <r>
      <rPr>
        <sz val="12"/>
        <color theme="1"/>
        <rFont val="AdvEPSTIM"/>
        <charset val="134"/>
      </rPr>
      <t>doi:</t>
    </r>
    <r>
      <rPr>
        <sz val="12"/>
        <color rgb="FF000066"/>
        <rFont val="AdvEPSTIM"/>
        <charset val="134"/>
      </rPr>
      <t xml:space="preserve">10.1016/j.scriptamat.2011.12.025 </t>
    </r>
  </si>
  <si>
    <t xml:space="preserve">http://dx.doi.org/10.1016/j.msea.2016.04.093 </t>
  </si>
  <si>
    <t>2.62Al-0.75Zn-0.36Mn</t>
  </si>
  <si>
    <r>
      <rPr>
        <sz val="12"/>
        <color rgb="FF000000"/>
        <rFont val="Times New Roman"/>
        <charset val="134"/>
      </rPr>
      <t>380°C</t>
    </r>
    <r>
      <rPr>
        <sz val="12"/>
        <color rgb="FF000000"/>
        <rFont val="SimSun"/>
        <charset val="134"/>
      </rPr>
      <t>挤压</t>
    </r>
  </si>
  <si>
    <t xml:space="preserve">http://dx.doi.org/10.1016/j.msea.2012.11.032 </t>
  </si>
  <si>
    <t>2.52Al-0.76Zn-0.39Mn-0.93-Li</t>
  </si>
  <si>
    <t>2.61Al-0.78Zn-0.35Mn-2.93Li</t>
  </si>
  <si>
    <t>2.53Al-0.79Zn-0.27Mn-4.79Li</t>
  </si>
  <si>
    <t xml:space="preserve">Mg–2.90Al– 0.69Zn–0.32Mn </t>
  </si>
  <si>
    <r>
      <rPr>
        <sz val="12"/>
        <color rgb="FF000000"/>
        <rFont val="Times New Roman"/>
        <charset val="134"/>
      </rPr>
      <t>250°C</t>
    </r>
    <r>
      <rPr>
        <sz val="12"/>
        <color rgb="FF000000"/>
        <rFont val="SimSun"/>
        <charset val="134"/>
      </rPr>
      <t>挤压</t>
    </r>
  </si>
  <si>
    <r>
      <rPr>
        <sz val="12"/>
        <color rgb="FF211E1E"/>
        <rFont val="AdvTT5235d5a9"/>
        <charset val="134"/>
      </rPr>
      <t>doi:</t>
    </r>
    <r>
      <rPr>
        <sz val="12"/>
        <color rgb="FF2D2D91"/>
        <rFont val="AdvTT5235d5a9"/>
        <charset val="134"/>
      </rPr>
      <t xml:space="preserve">10.1016/j.matlet.2009.09.062 </t>
    </r>
  </si>
  <si>
    <t xml:space="preserve">Mg–7.95Sn–0.95 Al–0.95Zn </t>
  </si>
  <si>
    <t>Mg–1.62Mn</t>
  </si>
  <si>
    <r>
      <rPr>
        <sz val="12"/>
        <color rgb="FF000000"/>
        <rFont val="Times New Roman"/>
        <charset val="134"/>
      </rPr>
      <t>375°C</t>
    </r>
    <r>
      <rPr>
        <sz val="12"/>
        <color rgb="FF000000"/>
        <rFont val="SimSun"/>
        <charset val="134"/>
      </rPr>
      <t>挤压</t>
    </r>
  </si>
  <si>
    <t xml:space="preserve">doi:10.1016/j.scriptamat.2007.09.054 </t>
  </si>
  <si>
    <t>Mg–0.45Mn–2.87Al–0.83Zn</t>
  </si>
  <si>
    <r>
      <rPr>
        <sz val="12"/>
        <color rgb="FF000000"/>
        <rFont val="Times New Roman"/>
        <charset val="134"/>
      </rPr>
      <t>530°C</t>
    </r>
    <r>
      <rPr>
        <sz val="12"/>
        <color rgb="FF000000"/>
        <rFont val="SimSun"/>
        <charset val="134"/>
      </rPr>
      <t>挤压</t>
    </r>
  </si>
  <si>
    <t xml:space="preserve">Mg–0.98Mn–0.27Ce–0.13La </t>
  </si>
  <si>
    <r>
      <rPr>
        <sz val="12"/>
        <color rgb="FF000000"/>
        <rFont val="Times New Roman"/>
        <charset val="134"/>
      </rPr>
      <t>450°C</t>
    </r>
    <r>
      <rPr>
        <sz val="12"/>
        <color rgb="FF000000"/>
        <rFont val="SimSun"/>
        <charset val="134"/>
      </rPr>
      <t>挤压</t>
    </r>
  </si>
  <si>
    <t>2.8Al-0.6Zn-0.32Mn</t>
  </si>
  <si>
    <r>
      <rPr>
        <sz val="12"/>
        <color rgb="FF000000"/>
        <rFont val="Times New Roman"/>
        <charset val="134"/>
      </rPr>
      <t>454°C</t>
    </r>
    <r>
      <rPr>
        <sz val="12"/>
        <color rgb="FF000000"/>
        <rFont val="SimSun"/>
        <charset val="134"/>
      </rPr>
      <t>挤压</t>
    </r>
  </si>
  <si>
    <r>
      <rPr>
        <sz val="12"/>
        <color theme="1"/>
        <rFont val="Times"/>
        <charset val="134"/>
      </rPr>
      <t>doi:</t>
    </r>
    <r>
      <rPr>
        <sz val="12"/>
        <color rgb="FF000066"/>
        <rFont val="Times"/>
        <charset val="134"/>
      </rPr>
      <t xml:space="preserve">10.1016/j.msea.2006.06.117 </t>
    </r>
  </si>
  <si>
    <r>
      <rPr>
        <sz val="12"/>
        <color rgb="FF000000"/>
        <rFont val="Times New Roman"/>
        <charset val="134"/>
      </rPr>
      <t>365°C</t>
    </r>
    <r>
      <rPr>
        <sz val="12"/>
        <color rgb="FF000000"/>
        <rFont val="SimSun"/>
        <charset val="134"/>
      </rPr>
      <t>挤压</t>
    </r>
  </si>
  <si>
    <r>
      <rPr>
        <sz val="12"/>
        <color rgb="FF000000"/>
        <rFont val="Times New Roman"/>
        <charset val="134"/>
      </rPr>
      <t>341°C</t>
    </r>
    <r>
      <rPr>
        <sz val="12"/>
        <color rgb="FF000000"/>
        <rFont val="SimSun"/>
        <charset val="134"/>
      </rPr>
      <t>挤压</t>
    </r>
  </si>
  <si>
    <t>5.8Al-0.6Zn-0.29Mn</t>
  </si>
  <si>
    <r>
      <rPr>
        <sz val="12"/>
        <color rgb="FF000000"/>
        <rFont val="Times New Roman"/>
        <charset val="134"/>
      </rPr>
      <t>407°C</t>
    </r>
    <r>
      <rPr>
        <sz val="12"/>
        <color rgb="FF000000"/>
        <rFont val="SimSun"/>
        <charset val="134"/>
      </rPr>
      <t>挤压</t>
    </r>
  </si>
  <si>
    <r>
      <rPr>
        <sz val="12"/>
        <color rgb="FF000000"/>
        <rFont val="Times New Roman"/>
        <charset val="134"/>
      </rPr>
      <t>405°C</t>
    </r>
    <r>
      <rPr>
        <sz val="12"/>
        <color rgb="FF000000"/>
        <rFont val="SimSun"/>
        <charset val="134"/>
      </rPr>
      <t>挤压</t>
    </r>
  </si>
  <si>
    <r>
      <rPr>
        <sz val="12"/>
        <color rgb="FF000000"/>
        <rFont val="Times New Roman"/>
        <charset val="134"/>
      </rPr>
      <t>311°C</t>
    </r>
    <r>
      <rPr>
        <sz val="12"/>
        <color rgb="FF000000"/>
        <rFont val="SimSun"/>
        <charset val="134"/>
      </rPr>
      <t>挤压</t>
    </r>
  </si>
  <si>
    <t>6.4Al-0.74Zn-0.35Mn</t>
  </si>
  <si>
    <r>
      <rPr>
        <sz val="12"/>
        <color rgb="FF000000"/>
        <rFont val="Times New Roman"/>
        <charset val="134"/>
      </rPr>
      <t>335°C</t>
    </r>
    <r>
      <rPr>
        <sz val="12"/>
        <color rgb="FF000000"/>
        <rFont val="SimSun"/>
        <charset val="134"/>
      </rPr>
      <t>挤压</t>
    </r>
  </si>
  <si>
    <r>
      <rPr>
        <sz val="12"/>
        <color rgb="FF000000"/>
        <rFont val="Times New Roman"/>
        <charset val="134"/>
      </rPr>
      <t>334°C</t>
    </r>
    <r>
      <rPr>
        <sz val="12"/>
        <color rgb="FF000000"/>
        <rFont val="SimSun"/>
        <charset val="134"/>
      </rPr>
      <t>挤压</t>
    </r>
  </si>
  <si>
    <r>
      <rPr>
        <sz val="12"/>
        <color rgb="FF000000"/>
        <rFont val="Times New Roman"/>
        <charset val="134"/>
      </rPr>
      <t>330°C</t>
    </r>
    <r>
      <rPr>
        <sz val="12"/>
        <color rgb="FF000000"/>
        <rFont val="SimSun"/>
        <charset val="134"/>
      </rPr>
      <t>挤压</t>
    </r>
  </si>
  <si>
    <t>8.3Al-0.6Zn-0.23Mn</t>
  </si>
  <si>
    <r>
      <rPr>
        <sz val="12"/>
        <color rgb="FF000000"/>
        <rFont val="Times New Roman"/>
        <charset val="134"/>
      </rPr>
      <t>355°C</t>
    </r>
    <r>
      <rPr>
        <sz val="12"/>
        <color rgb="FF000000"/>
        <rFont val="SimSun"/>
        <charset val="134"/>
      </rPr>
      <t>挤压</t>
    </r>
  </si>
  <si>
    <r>
      <rPr>
        <sz val="12"/>
        <color theme="1"/>
        <rFont val="OneGulliverA"/>
        <charset val="134"/>
      </rPr>
      <t>doi:</t>
    </r>
    <r>
      <rPr>
        <sz val="12"/>
        <color rgb="FF000066"/>
        <rFont val="OneGulliverA"/>
        <charset val="134"/>
      </rPr>
      <t xml:space="preserve">10.1016/j.jallcom.2008.12.033 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</si>
  <si>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+anneal 420/0.5</t>
    </r>
  </si>
  <si>
    <r>
      <rPr>
        <sz val="12"/>
        <color rgb="FF000000"/>
        <rFont val="等线"/>
        <charset val="134"/>
      </rPr>
      <t>挤压</t>
    </r>
    <r>
      <rPr>
        <sz val="12"/>
        <color rgb="FF000000"/>
        <rFont val="Times New Roman"/>
        <charset val="134"/>
      </rPr>
      <t>+anneal 420/2</t>
    </r>
  </si>
  <si>
    <r>
      <rPr>
        <sz val="12"/>
        <color rgb="FF000000"/>
        <rFont val="等线"/>
        <charset val="134"/>
      </rPr>
      <t>挤压</t>
    </r>
    <r>
      <rPr>
        <sz val="12"/>
        <color rgb="FF000000"/>
        <rFont val="Times New Roman"/>
        <charset val="134"/>
      </rPr>
      <t>+anneal 420/12</t>
    </r>
  </si>
  <si>
    <t>铸造+轧制</t>
  </si>
  <si>
    <r>
      <rPr>
        <sz val="12"/>
        <color theme="1"/>
        <rFont val="Times"/>
        <charset val="134"/>
      </rPr>
      <t>doi:</t>
    </r>
    <r>
      <rPr>
        <sz val="12"/>
        <color rgb="FF000066"/>
        <rFont val="Times"/>
        <charset val="134"/>
      </rPr>
      <t xml:space="preserve">10.1016/j.msea.2007.09.069 </t>
    </r>
  </si>
  <si>
    <t>2.95Al-1Zn-0.33Mn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</si>
  <si>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250</t>
    </r>
  </si>
  <si>
    <t xml:space="preserve">doi:10.1016/j.actamat.2008.02.010 </t>
  </si>
  <si>
    <t>2.94Al-1.02Zn-0.35Mn-0.49Ce</t>
  </si>
  <si>
    <t>2.89Al-0.99Zn-0.33Mn-0.82Ca</t>
  </si>
  <si>
    <t>2.89Al-1Zn-0.35Mn-0.54Ce-0.82Ca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</si>
  <si>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300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</si>
  <si>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350</t>
    </r>
  </si>
  <si>
    <t xml:space="preserve">Mg–3.02Al–1.01Zn–0.30Mn </t>
  </si>
  <si>
    <r>
      <rPr>
        <sz val="12"/>
        <color rgb="FF000000"/>
        <rFont val="等线"/>
        <charset val="134"/>
      </rPr>
      <t>挤压</t>
    </r>
    <r>
      <rPr>
        <sz val="12"/>
        <color rgb="FF000000"/>
        <rFont val="Times New Roman"/>
        <charset val="134"/>
      </rPr>
      <t>+150/1</t>
    </r>
  </si>
  <si>
    <t xml:space="preserve">doi:10.1016/j.scriptamat.2006.06.005 </t>
  </si>
  <si>
    <r>
      <rPr>
        <sz val="12"/>
        <color rgb="FF000000"/>
        <rFont val="等线"/>
        <charset val="134"/>
      </rPr>
      <t>挤压</t>
    </r>
    <r>
      <rPr>
        <sz val="12"/>
        <color rgb="FF000000"/>
        <rFont val="Times New Roman"/>
        <charset val="134"/>
      </rPr>
      <t>+200/1h</t>
    </r>
  </si>
  <si>
    <r>
      <rPr>
        <sz val="12"/>
        <color rgb="FF000000"/>
        <rFont val="等线"/>
        <charset val="134"/>
      </rPr>
      <t>挤压</t>
    </r>
    <r>
      <rPr>
        <sz val="12"/>
        <color rgb="FF000000"/>
        <rFont val="Times New Roman"/>
        <charset val="134"/>
      </rPr>
      <t>+300/1h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</si>
  <si>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+300/1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</si>
  <si>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+300/3h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</si>
  <si>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+300/5h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</si>
  <si>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+350/1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</si>
  <si>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+350/3h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</si>
  <si>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+350/5h</t>
    </r>
  </si>
  <si>
    <t>铸造+FSP</t>
  </si>
  <si>
    <t>FSP 800rpm, 90mm/min</t>
  </si>
  <si>
    <t>FSP 800rpm, 45mm/min</t>
  </si>
  <si>
    <t>FSP 1000rpm, 90mm/min</t>
  </si>
  <si>
    <r>
      <rPr>
        <sz val="12"/>
        <color theme="1"/>
        <rFont val="Times New Roman"/>
        <charset val="134"/>
      </rPr>
      <t>FSP 1400rpm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90mm/min</t>
    </r>
  </si>
  <si>
    <r>
      <rPr>
        <sz val="12"/>
        <color theme="1"/>
        <rFont val="Times New Roman"/>
        <charset val="134"/>
      </rPr>
      <t>FSP 1400rpm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45mm/min</t>
    </r>
  </si>
  <si>
    <t xml:space="preserve">Mg-2.98Al-0.89Zn-0.25Mn-0.013Si-0.002Cu-0.002Ni-0.003Fe </t>
  </si>
  <si>
    <r>
      <rPr>
        <sz val="12"/>
        <color theme="1"/>
        <rFont val="等线"/>
        <charset val="134"/>
      </rPr>
      <t>挤压</t>
    </r>
  </si>
  <si>
    <t xml:space="preserve">http://dx.doi.org/10.1016/j.scriptamat.2013.04.011 </t>
  </si>
  <si>
    <r>
      <rPr>
        <sz val="12"/>
        <color theme="1"/>
        <rFont val="AdvEPSTIM"/>
        <charset val="134"/>
      </rPr>
      <t>doi:</t>
    </r>
    <r>
      <rPr>
        <sz val="12"/>
        <color rgb="FF000066"/>
        <rFont val="AdvEPSTIM"/>
        <charset val="134"/>
      </rPr>
      <t xml:space="preserve">10.1016/j.scriptamat.2011.09.029 </t>
    </r>
  </si>
  <si>
    <t xml:space="preserve">Mg-3Al-0.8Zn-0.2Mn </t>
  </si>
  <si>
    <t xml:space="preserve">Mg–2.96Al–0.94Zn </t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</si>
  <si>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20</t>
    </r>
  </si>
  <si>
    <t xml:space="preserve">http://dx.doi.org/10.1016/j.msea.2014.09.024 </t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</si>
  <si>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40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</si>
  <si>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70</t>
    </r>
  </si>
  <si>
    <t xml:space="preserve">Mg-3Al-1Zn-0.3Mn </t>
  </si>
  <si>
    <t>RD</t>
  </si>
  <si>
    <t xml:space="preserve">http://dx.doi.org/10.1016/j.jallcom.2015.08.005 </t>
  </si>
  <si>
    <t>TD</t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</si>
  <si>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200</t>
    </r>
  </si>
  <si>
    <r>
      <rPr>
        <sz val="12"/>
        <color theme="1"/>
        <rFont val="Times"/>
        <charset val="134"/>
      </rPr>
      <t>doi:</t>
    </r>
    <r>
      <rPr>
        <sz val="12"/>
        <color rgb="FF000066"/>
        <rFont val="Times"/>
        <charset val="134"/>
      </rPr>
      <t xml:space="preserve">10.1016/j.jmatprotec.2006.08.010 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</si>
  <si>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250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</si>
  <si>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140 RD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</si>
  <si>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140 45</t>
    </r>
  </si>
  <si>
    <t xml:space="preserve">doi:10.1016/j.scriptamat.2006.09.034 </t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</si>
  <si>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140 TD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</si>
  <si>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160 RD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</si>
  <si>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160 45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</si>
  <si>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200 RD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</si>
  <si>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200 45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</si>
  <si>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200 TD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</si>
  <si>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250 RD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</si>
  <si>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250 45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</si>
  <si>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250 TD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</si>
  <si>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350 RD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</si>
  <si>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350 45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</si>
  <si>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350 TD</t>
    </r>
  </si>
  <si>
    <t>铸造+轧制+退火</t>
  </si>
  <si>
    <t>anneal 200/1h</t>
  </si>
  <si>
    <t xml:space="preserve">Mg-3.6Al-1.0Zn-0.5Mn </t>
  </si>
  <si>
    <t xml:space="preserve">https://doi.org/10.1016/j.jma.2019.06.002 </t>
  </si>
  <si>
    <t xml:space="preserve">Mg-3Al–1Zn–0.2Mn </t>
  </si>
  <si>
    <r>
      <rPr>
        <sz val="12"/>
        <color theme="1"/>
        <rFont val="等线"/>
        <charset val="134"/>
      </rPr>
      <t>轧制</t>
    </r>
  </si>
  <si>
    <t xml:space="preserve">https://doi.org/10.1016/j.jma.2017.07.001 </t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</si>
  <si>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300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</si>
  <si>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350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</si>
  <si>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400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</si>
  <si>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450</t>
    </r>
  </si>
  <si>
    <t xml:space="preserve">Mg-3Al-1Zn-0.4Mn </t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</si>
  <si>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200 0%</t>
    </r>
  </si>
  <si>
    <r>
      <rPr>
        <sz val="12"/>
        <color theme="1"/>
        <rFont val="Times"/>
        <charset val="134"/>
      </rPr>
      <t>doi:</t>
    </r>
    <r>
      <rPr>
        <sz val="12"/>
        <color rgb="FF000066"/>
        <rFont val="Times"/>
        <charset val="134"/>
      </rPr>
      <t xml:space="preserve">10.1016/j.jmatprotec.2006.11.084 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</si>
  <si>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200 18%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</si>
  <si>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200 30%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</si>
  <si>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200 50%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</si>
  <si>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 xml:space="preserve"> 2.1mm/min</t>
    </r>
  </si>
  <si>
    <t xml:space="preserve">http://dx.doi.org/10.1016/j.msea.2014.04.024 </t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</si>
  <si>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 xml:space="preserve"> 3.5mm/min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</si>
  <si>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 xml:space="preserve"> 4.9mm/min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</si>
  <si>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7.5mm/min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</si>
  <si>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9.8mm/min</t>
    </r>
  </si>
  <si>
    <t>https://doi.org/10.1179/1432891714Z.0000000001135</t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</si>
  <si>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100/10min</t>
    </r>
  </si>
  <si>
    <t xml:space="preserve">https://doi.org/10.1016/j.jma.2019.11.005 </t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</si>
  <si>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100/30min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</si>
  <si>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100/1h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</si>
  <si>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100/3h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</si>
  <si>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100/6h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</si>
  <si>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150/10min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</si>
  <si>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150/30min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</si>
  <si>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150/1h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</si>
  <si>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150/3h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</si>
  <si>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150/6h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</si>
  <si>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200/10min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</si>
  <si>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200/30min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</si>
  <si>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200/1h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</si>
  <si>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200/3h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</si>
  <si>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200/6h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</si>
  <si>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300/10min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</si>
  <si>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300/30min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</si>
  <si>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300/1h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</si>
  <si>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300/3h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</si>
  <si>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300/6h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</si>
  <si>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400/10min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</si>
  <si>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400/30min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</si>
  <si>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400/1h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</si>
  <si>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400/3h</t>
    </r>
  </si>
  <si>
    <r>
      <rPr>
        <sz val="12"/>
        <color theme="1"/>
        <rFont val="等线"/>
        <charset val="134"/>
      </rPr>
      <t>多向轧制</t>
    </r>
    <r>
      <rPr>
        <sz val="12"/>
        <color theme="1"/>
        <rFont val="Times New Roman"/>
        <charset val="134"/>
      </rPr>
      <t xml:space="preserve"> 400/6h</t>
    </r>
  </si>
  <si>
    <t xml:space="preserve">https://doi.org/10.1016/j.jallcom.2018.09.065 </t>
  </si>
  <si>
    <t xml:space="preserve">4.4Al-0.9Zn-0.4Mn </t>
  </si>
  <si>
    <r>
      <rPr>
        <sz val="12"/>
        <color theme="1"/>
        <rFont val="等线"/>
        <charset val="134"/>
      </rPr>
      <t>旋转轧制</t>
    </r>
  </si>
  <si>
    <r>
      <rPr>
        <sz val="12"/>
        <color theme="1"/>
        <rFont val="SimSun"/>
        <charset val="134"/>
      </rPr>
      <t>铸造</t>
    </r>
    <r>
      <rPr>
        <sz val="12"/>
        <color theme="1"/>
        <rFont val="Times New Roman"/>
        <charset val="134"/>
      </rPr>
      <t>+ecap</t>
    </r>
  </si>
  <si>
    <t>ecap</t>
  </si>
  <si>
    <t xml:space="preserve">doi:10.1016/S0924-0136(02)01106-8 </t>
  </si>
  <si>
    <t>Mg-3.33Al-0.88Zn-0.21Mn-0.002Si-0.003Cu-0.002Ni-0.003Fe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</si>
  <si>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400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</si>
  <si>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450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</si>
  <si>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ce 0</t>
    </r>
  </si>
  <si>
    <t xml:space="preserve">http://dx.doi.org/10.1016/j.jma.2014.10.001. 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</si>
  <si>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ce 45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</si>
  <si>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ce 90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</si>
  <si>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pase 0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</si>
  <si>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pase 45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</si>
  <si>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pase 90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</si>
  <si>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sase 0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</si>
  <si>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sase 45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</si>
  <si>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sase 90</t>
    </r>
  </si>
  <si>
    <r>
      <rPr>
        <sz val="12"/>
        <color theme="1"/>
        <rFont val="OneGulliverA"/>
        <charset val="134"/>
      </rPr>
      <t>doi:</t>
    </r>
    <r>
      <rPr>
        <sz val="12"/>
        <color rgb="FF000066"/>
        <rFont val="OneGulliverA"/>
        <charset val="134"/>
      </rPr>
      <t xml:space="preserve">10.1016/j.msea.2008.06.015 </t>
    </r>
  </si>
  <si>
    <t xml:space="preserve">Mg-3.091Al–1.023Zn–0.421Mn </t>
  </si>
  <si>
    <r>
      <rPr>
        <sz val="12"/>
        <color theme="1"/>
        <rFont val="等线"/>
        <charset val="134"/>
      </rPr>
      <t>铸态</t>
    </r>
  </si>
  <si>
    <r>
      <rPr>
        <sz val="12"/>
        <color theme="1"/>
        <rFont val="Times"/>
        <charset val="134"/>
      </rPr>
      <t>doi:</t>
    </r>
    <r>
      <rPr>
        <sz val="12"/>
        <color rgb="FF000066"/>
        <rFont val="Times"/>
        <charset val="134"/>
      </rPr>
      <t xml:space="preserve">10.1016/j.jmatprotec.2006.08.012 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</si>
  <si>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250 7%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</si>
  <si>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250 24%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</si>
  <si>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250 39%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</si>
  <si>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250 70%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</si>
  <si>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250 100%</t>
    </r>
  </si>
  <si>
    <t>Mg</t>
  </si>
  <si>
    <t>HE+BP</t>
  </si>
  <si>
    <t>https://doi.org/10.3139/146.110721</t>
  </si>
  <si>
    <t>HE</t>
  </si>
  <si>
    <r>
      <rPr>
        <sz val="12"/>
        <color theme="1"/>
        <rFont val="SimSun"/>
        <charset val="134"/>
      </rPr>
      <t>铸造</t>
    </r>
    <r>
      <rPr>
        <sz val="12"/>
        <color theme="1"/>
        <rFont val="Times New Roman"/>
        <charset val="134"/>
      </rPr>
      <t>+ECAP</t>
    </r>
  </si>
  <si>
    <t>ECAP</t>
  </si>
  <si>
    <t>铸造+挤压+BP</t>
  </si>
  <si>
    <t>HE+WD+Annel</t>
  </si>
  <si>
    <t>HE225</t>
  </si>
  <si>
    <t xml:space="preserve">6Al-1Zn-0.15Mn </t>
  </si>
  <si>
    <t>HE+WD+annel</t>
  </si>
  <si>
    <t>HE200</t>
  </si>
  <si>
    <t xml:space="preserve">9Al-1Zn-0.15Mn </t>
  </si>
  <si>
    <t>HE300</t>
  </si>
  <si>
    <t>ECAP400</t>
  </si>
  <si>
    <t>10.1016/S0921-5093(00)01660-9</t>
  </si>
  <si>
    <t>ecap400 1</t>
  </si>
  <si>
    <t>ecap400 2</t>
  </si>
  <si>
    <t>Mg-0.9Al</t>
  </si>
  <si>
    <t>ecap400 0</t>
  </si>
  <si>
    <t>eecap400 3</t>
  </si>
  <si>
    <t xml:space="preserve">Mg–3Al–1Zn–0.3Mn </t>
  </si>
  <si>
    <t xml:space="preserve">doi:10.1016/j.msea.2005.08.123 </t>
  </si>
  <si>
    <t>ecap200 1</t>
  </si>
  <si>
    <t>ecap200 2</t>
  </si>
  <si>
    <t>ecap200 3</t>
  </si>
  <si>
    <t>ecap200 4</t>
  </si>
  <si>
    <t>ecap200 6</t>
  </si>
  <si>
    <t>ecap200 8</t>
  </si>
  <si>
    <t xml:space="preserve">doi:10.1016/j.msea.2005.04.018 </t>
  </si>
  <si>
    <t>ECAp 150</t>
  </si>
  <si>
    <t>https://doi.org/10.1007/s11837-020-04195-4</t>
  </si>
  <si>
    <t>ecap 200</t>
  </si>
  <si>
    <t>ecap250</t>
  </si>
  <si>
    <t>https://doi.org/10.1007/s11661-013-2094-z</t>
  </si>
  <si>
    <t>3.2Al-1.3Zn-0.4Mn-0.015Si-0.03Fe-0.06-Ce</t>
  </si>
  <si>
    <r>
      <rPr>
        <sz val="12"/>
        <color theme="1"/>
        <rFont val="SimSun"/>
        <charset val="134"/>
      </rPr>
      <t>铸造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轧制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</si>
  <si>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RD</t>
    </r>
  </si>
  <si>
    <t>doi:10.3390/ma11010073</t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</si>
  <si>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LD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</si>
  <si>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1 RD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</si>
  <si>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1 LD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</si>
  <si>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 RD</t>
    </r>
  </si>
  <si>
    <r>
      <rPr>
        <sz val="12"/>
        <color theme="1"/>
        <rFont val="等线"/>
        <charset val="134"/>
      </rPr>
      <t>轧制</t>
    </r>
    <r>
      <rPr>
        <sz val="12"/>
        <color theme="1"/>
        <rFont val="Times New Roman"/>
        <charset val="134"/>
      </rPr>
      <t>2 LD</t>
    </r>
  </si>
  <si>
    <r>
      <rPr>
        <sz val="12"/>
        <color theme="1"/>
        <rFont val="SimSun"/>
        <charset val="134"/>
      </rPr>
      <t>铸造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锻造</t>
    </r>
  </si>
  <si>
    <r>
      <rPr>
        <sz val="12"/>
        <color theme="1"/>
        <rFont val="等线"/>
        <charset val="134"/>
      </rPr>
      <t>锻造</t>
    </r>
  </si>
  <si>
    <r>
      <rPr>
        <sz val="12"/>
        <color theme="1"/>
        <rFont val="AdvGulliv"/>
        <charset val="134"/>
      </rPr>
      <t>doi:</t>
    </r>
    <r>
      <rPr>
        <sz val="12"/>
        <color rgb="FF000066"/>
        <rFont val="AdvGulliv"/>
        <charset val="134"/>
      </rPr>
      <t xml:space="preserve">10.1016/j.matdes.2011.01.038 </t>
    </r>
  </si>
  <si>
    <r>
      <rPr>
        <sz val="12"/>
        <color theme="1"/>
        <rFont val="SimSun"/>
        <charset val="134"/>
      </rPr>
      <t>铸造</t>
    </r>
    <r>
      <rPr>
        <sz val="12"/>
        <color theme="1"/>
        <rFont val="Times New Roman"/>
        <charset val="134"/>
      </rPr>
      <t>+ARB</t>
    </r>
  </si>
  <si>
    <t>ARB 2 350</t>
  </si>
  <si>
    <t>ARB 2 350+anneal250</t>
  </si>
  <si>
    <t>ARB 2 350+anneal350</t>
  </si>
  <si>
    <t>ARB 2 350+anneal450</t>
  </si>
  <si>
    <t>ARB 2 450</t>
  </si>
  <si>
    <t>ARB 2 450+anneal250</t>
  </si>
  <si>
    <t>ARB 2 450+anneal350</t>
  </si>
  <si>
    <t>ARB 2 450+anneal450</t>
  </si>
  <si>
    <t>3.23Al-1.01Zn-0.161Si</t>
  </si>
  <si>
    <r>
      <rPr>
        <sz val="12"/>
        <color theme="1"/>
        <rFont val="SimSun"/>
        <charset val="134"/>
      </rPr>
      <t>铸造</t>
    </r>
    <r>
      <rPr>
        <sz val="12"/>
        <color theme="1"/>
        <rFont val="Times New Roman"/>
        <charset val="134"/>
      </rPr>
      <t>+TRC</t>
    </r>
  </si>
  <si>
    <t>TRC</t>
  </si>
  <si>
    <t>HR</t>
  </si>
  <si>
    <t>https://doi.org/10.1016/j.jmrt.2023.03.068</t>
  </si>
  <si>
    <t>2.87Al-0.968Bi-0.130Si</t>
  </si>
  <si>
    <t>https://doi.org/10.1016/j.jma.2022.10.003</t>
  </si>
  <si>
    <t xml:space="preserve">Mg-9Al-1Zn-0.2Mn </t>
  </si>
  <si>
    <t xml:space="preserve">http://dx.doi.org/10.1016/j.msea.2017.07.048 </t>
  </si>
  <si>
    <t xml:space="preserve">Mg-8Al-0.5Zn-0.2 Mn </t>
  </si>
  <si>
    <t xml:space="preserve">https://doi.org/10.1016/j.jmst.2019.11.033 </t>
  </si>
  <si>
    <t>Mg-0.5Al-0.1Mn</t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</si>
  <si>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450*10h</t>
    </r>
  </si>
  <si>
    <t>Mg-Al合金晶粒细化、热变形行为及加工工艺的研究 - 中国知网 (cnki.net)</t>
  </si>
  <si>
    <t>Mg-0.5Al-0.3Zn-0.2Mn</t>
  </si>
  <si>
    <t>Mg-0.5Al-0.6Zn-0.3Mn</t>
  </si>
  <si>
    <t>Mg-0.5Al-0.9Zn-0.4Mn</t>
  </si>
  <si>
    <t>3~7μm</t>
  </si>
  <si>
    <t>Mg-1Al-0.2Mn</t>
  </si>
  <si>
    <t>Mg-1Al-0.3Zn-0.1Mn</t>
  </si>
  <si>
    <t>Mg-1Al-0.6Zn-0.4Mn</t>
  </si>
  <si>
    <t>Mg-1Al-0.9Zn-0.3Mn</t>
  </si>
  <si>
    <t>Mg-2Al-0.3Mn</t>
  </si>
  <si>
    <t>Mg-2Al-0.3Zn-0.4Mn</t>
  </si>
  <si>
    <t>Mg-2Al-0.6Zn-0.1Mn</t>
  </si>
  <si>
    <t>Mg-2Al-0.9Zn-0.2Mn</t>
  </si>
  <si>
    <t>Mg-3Al-0.4Mn</t>
  </si>
  <si>
    <t>Mg-3Al-0.3Zn-0.3Mn</t>
  </si>
  <si>
    <t>Mg-3Al-0.6Zn-0.2Mn</t>
  </si>
  <si>
    <t>Mg-3Al-0.9Zn-0.1Mn</t>
  </si>
  <si>
    <t>Mg-0.5Al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</si>
  <si>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316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</si>
  <si>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365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</si>
  <si>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423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</si>
  <si>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t>Mg-2Al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</si>
  <si>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366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</si>
  <si>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420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</si>
  <si>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295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</si>
  <si>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418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</si>
  <si>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t>Mg-2Al-1Zn-0,3Mn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</si>
  <si>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306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</si>
  <si>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367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</si>
  <si>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419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</si>
  <si>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310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</si>
  <si>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383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</si>
  <si>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293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15mm/s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</si>
  <si>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415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15mm/s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</si>
  <si>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300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</si>
  <si>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362</t>
    </r>
    <r>
      <rPr>
        <sz val="12"/>
        <color theme="1"/>
        <rFont val="等线"/>
        <charset val="134"/>
      </rPr>
      <t>，</t>
    </r>
    <r>
      <rPr>
        <sz val="12"/>
        <color theme="1"/>
        <rFont val="Times New Roman"/>
        <charset val="134"/>
      </rPr>
      <t>1mm/s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12.5</t>
    </r>
  </si>
  <si>
    <t>Mg-3Al-1Zn-0.01Ti</t>
  </si>
  <si>
    <t>Mg-3Al-1Zn-0.03Ti</t>
  </si>
  <si>
    <t>Mg-3Al-1Zn-0.05Ti</t>
  </si>
  <si>
    <t>2~8μm</t>
  </si>
  <si>
    <t>Mg-3Al-0.4Mn-0.01Ti</t>
  </si>
  <si>
    <t>Mg-3Al-0.4Mn-0.02Ti</t>
  </si>
  <si>
    <t>Mg-3Al-0.4Mn-0.01Sr</t>
  </si>
  <si>
    <r>
      <rPr>
        <sz val="12"/>
        <color theme="1"/>
        <rFont val="等线"/>
        <charset val="134"/>
      </rPr>
      <t>针状</t>
    </r>
  </si>
  <si>
    <r>
      <rPr>
        <sz val="12"/>
        <color theme="1"/>
        <rFont val="等线"/>
        <charset val="134"/>
      </rPr>
      <t>宽</t>
    </r>
    <r>
      <rPr>
        <sz val="12"/>
        <color theme="1"/>
        <rFont val="Times New Roman"/>
        <charset val="134"/>
      </rPr>
      <t>3~4μm</t>
    </r>
    <r>
      <rPr>
        <sz val="12"/>
        <color theme="1"/>
        <rFont val="等线"/>
        <charset val="134"/>
      </rPr>
      <t>，长</t>
    </r>
    <r>
      <rPr>
        <sz val="12"/>
        <color theme="1"/>
        <rFont val="Times New Roman"/>
        <charset val="134"/>
      </rPr>
      <t>30~40μm</t>
    </r>
  </si>
  <si>
    <t>Mg-3Al-0.3Zn-0.05Sr</t>
  </si>
  <si>
    <t>Mg-3Al-0.3Zn-0.1Sr</t>
  </si>
  <si>
    <r>
      <rPr>
        <sz val="12"/>
        <color theme="1"/>
        <rFont val="等线"/>
        <charset val="134"/>
      </rPr>
      <t>岛状</t>
    </r>
  </si>
  <si>
    <t>Mg-3Al-0.3Zn-0.5Sr</t>
  </si>
  <si>
    <r>
      <rPr>
        <sz val="12"/>
        <color theme="1"/>
        <rFont val="等线"/>
        <charset val="134"/>
      </rPr>
      <t>岛状</t>
    </r>
    <r>
      <rPr>
        <sz val="12"/>
        <color theme="1"/>
        <rFont val="Times New Roman"/>
        <charset val="134"/>
      </rPr>
      <t>+</t>
    </r>
    <r>
      <rPr>
        <sz val="12"/>
        <color theme="1"/>
        <rFont val="等线"/>
        <charset val="134"/>
      </rPr>
      <t>网状</t>
    </r>
  </si>
  <si>
    <t>Mg-3Al-0.3Zn-1.0Sr</t>
  </si>
  <si>
    <t>Mg-3Al-0.4Mn-0.05Sr</t>
  </si>
  <si>
    <t>Mg-3Al-0.4Mn-0.1Sr</t>
  </si>
  <si>
    <t>Mg-9Al-2Sn</t>
  </si>
  <si>
    <r>
      <rPr>
        <sz val="12"/>
        <color theme="1"/>
        <rFont val="等线"/>
        <charset val="134"/>
      </rPr>
      <t>铸造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固溶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时效</t>
    </r>
  </si>
  <si>
    <t>133.71±27.8</t>
  </si>
  <si>
    <t>250.33±4.46</t>
  </si>
  <si>
    <r>
      <rPr>
        <sz val="12"/>
        <color theme="1"/>
        <rFont val="等线"/>
        <charset val="134"/>
      </rPr>
      <t>铸造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</si>
  <si>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420*16h</t>
    </r>
    <r>
      <rPr>
        <sz val="12"/>
        <color theme="1"/>
        <rFont val="等线"/>
        <charset val="134"/>
      </rPr>
      <t>水冷</t>
    </r>
    <r>
      <rPr>
        <sz val="12"/>
        <color theme="1"/>
        <rFont val="Times New Roman"/>
        <charset val="134"/>
      </rPr>
      <t>+</t>
    </r>
    <r>
      <rPr>
        <sz val="12"/>
        <color theme="1"/>
        <rFont val="等线"/>
        <charset val="134"/>
      </rPr>
      <t>油浴时效</t>
    </r>
    <r>
      <rPr>
        <sz val="12"/>
        <color theme="1"/>
        <rFont val="Times New Roman"/>
        <charset val="134"/>
      </rPr>
      <t>200*8h peak</t>
    </r>
  </si>
  <si>
    <t>Mg-9Al-2Sn-Mn/Sr(wt.%)合金显微组织和力学性能研究 - 中国知网 (cnki.net)</t>
  </si>
  <si>
    <t>Mg-9Al-2Sn-0.1Mn</t>
  </si>
  <si>
    <t>154.44±2.63</t>
  </si>
  <si>
    <t>292.48±3.32</t>
  </si>
  <si>
    <r>
      <rPr>
        <sz val="12"/>
        <color theme="1"/>
        <rFont val="等线"/>
        <charset val="134"/>
      </rPr>
      <t>含</t>
    </r>
    <r>
      <rPr>
        <sz val="12"/>
        <color theme="1"/>
        <rFont val="Times New Roman"/>
        <charset val="134"/>
      </rPr>
      <t>Mn</t>
    </r>
    <r>
      <rPr>
        <sz val="12"/>
        <color theme="1"/>
        <rFont val="等线"/>
        <charset val="134"/>
      </rPr>
      <t>颗粒时效前方块形，时效后花型</t>
    </r>
  </si>
  <si>
    <r>
      <rPr>
        <sz val="12"/>
        <color theme="1"/>
        <rFont val="等线"/>
        <charset val="134"/>
      </rPr>
      <t>含</t>
    </r>
    <r>
      <rPr>
        <sz val="12"/>
        <color theme="1"/>
        <rFont val="Times New Roman"/>
        <charset val="134"/>
      </rPr>
      <t>Mn</t>
    </r>
    <r>
      <rPr>
        <sz val="12"/>
        <color theme="1"/>
        <rFont val="等线"/>
        <charset val="134"/>
      </rPr>
      <t>颗粒，</t>
    </r>
    <r>
      <rPr>
        <sz val="12"/>
        <color theme="1"/>
        <rFont val="Times New Roman"/>
        <charset val="134"/>
      </rPr>
      <t>4.69μm~7.81μm</t>
    </r>
  </si>
  <si>
    <t>Mg-9Al-2Sn-0.3Mn</t>
  </si>
  <si>
    <t>137.42±11.2</t>
  </si>
  <si>
    <t>271.59±15.77</t>
  </si>
  <si>
    <r>
      <rPr>
        <sz val="12"/>
        <color theme="1"/>
        <rFont val="等线"/>
        <charset val="134"/>
      </rPr>
      <t>含</t>
    </r>
    <r>
      <rPr>
        <sz val="12"/>
        <color theme="1"/>
        <rFont val="Times New Roman"/>
        <charset val="134"/>
      </rPr>
      <t>Mn</t>
    </r>
    <r>
      <rPr>
        <sz val="12"/>
        <color theme="1"/>
        <rFont val="等线"/>
        <charset val="134"/>
      </rPr>
      <t>颗粒，</t>
    </r>
    <r>
      <rPr>
        <sz val="12"/>
        <color theme="1"/>
        <rFont val="Times New Roman"/>
        <charset val="134"/>
      </rPr>
      <t>3μm*2μm
4h</t>
    </r>
    <r>
      <rPr>
        <sz val="12"/>
        <color theme="1"/>
        <rFont val="等线"/>
        <charset val="134"/>
      </rPr>
      <t>时效后</t>
    </r>
    <r>
      <rPr>
        <sz val="12"/>
        <color theme="1"/>
        <rFont val="Times New Roman"/>
        <charset val="134"/>
      </rPr>
      <t>20μm*4μm</t>
    </r>
  </si>
  <si>
    <t>Mg-9Al-2Sn-0.1Sr</t>
  </si>
  <si>
    <r>
      <rPr>
        <sz val="12"/>
        <color theme="1"/>
        <rFont val="等线"/>
        <charset val="134"/>
      </rPr>
      <t>部分</t>
    </r>
    <r>
      <rPr>
        <sz val="12"/>
        <color theme="1"/>
        <rFont val="Times New Roman"/>
        <charset val="134"/>
      </rPr>
      <t>Al8(Mn, Fe)5</t>
    </r>
    <r>
      <rPr>
        <sz val="12"/>
        <color theme="1"/>
        <rFont val="等线"/>
        <charset val="134"/>
      </rPr>
      <t>相变为针状</t>
    </r>
  </si>
  <si>
    <r>
      <rPr>
        <sz val="12"/>
        <color theme="1"/>
        <rFont val="Times New Roman"/>
        <charset val="134"/>
      </rPr>
      <t>5(Mn, Fe)8Al</t>
    </r>
    <r>
      <rPr>
        <sz val="12"/>
        <color theme="1"/>
        <rFont val="等线"/>
        <charset val="134"/>
      </rPr>
      <t>：</t>
    </r>
    <r>
      <rPr>
        <sz val="12"/>
        <color theme="1"/>
        <rFont val="Times New Roman"/>
        <charset val="134"/>
      </rPr>
      <t>5.77μm±1.57μm</t>
    </r>
  </si>
  <si>
    <t>Mg-9Al-2Sn-0.1Sr-0.1Mn</t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</si>
  <si>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420*16h</t>
    </r>
    <r>
      <rPr>
        <sz val="12"/>
        <color theme="1"/>
        <rFont val="等线"/>
        <charset val="134"/>
      </rPr>
      <t>水冷</t>
    </r>
    <r>
      <rPr>
        <sz val="12"/>
        <color theme="1"/>
        <rFont val="Times New Roman"/>
        <charset val="134"/>
      </rPr>
      <t>+</t>
    </r>
    <r>
      <rPr>
        <sz val="12"/>
        <color theme="1"/>
        <rFont val="等线"/>
        <charset val="134"/>
      </rPr>
      <t>油浴时效</t>
    </r>
    <r>
      <rPr>
        <sz val="12"/>
        <color theme="1"/>
        <rFont val="Times New Roman"/>
        <charset val="134"/>
      </rPr>
      <t>200*4h peak</t>
    </r>
  </si>
  <si>
    <t>Mg-9Al</t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</si>
  <si>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420*24h+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200*1h</t>
    </r>
  </si>
  <si>
    <t>Mg-9Al-2Sm(wt.%)铸造合金显微组织与力学性能研究 - 中国知网 (cnki.net)</t>
  </si>
  <si>
    <t>114.3±5.1</t>
  </si>
  <si>
    <t>259.9±2.6</t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</si>
  <si>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420*24h+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200*16h</t>
    </r>
  </si>
  <si>
    <t>Mg-9Al-0.2Sm</t>
  </si>
  <si>
    <r>
      <rPr>
        <sz val="12"/>
        <color theme="1"/>
        <rFont val="等线"/>
        <charset val="134"/>
      </rPr>
      <t>杆状（细针状）</t>
    </r>
  </si>
  <si>
    <t>Mg-9Al-0.5Sm</t>
  </si>
  <si>
    <t>Mg-9Al-1Sm</t>
  </si>
  <si>
    <t>Mg-9Al-2Sm</t>
  </si>
  <si>
    <t>Mg-9Al-4Sm</t>
  </si>
  <si>
    <t>131.3±1.8</t>
  </si>
  <si>
    <t>259.4±6.6</t>
  </si>
  <si>
    <t>Mg-9Al-2Sm-0.1Si</t>
  </si>
  <si>
    <t>Mg-9Al-2Sm-0.2Si</t>
  </si>
  <si>
    <t>Mg-9Al-2Sm-0.5Si</t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</si>
  <si>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420*36h+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200*1h</t>
    </r>
  </si>
  <si>
    <t>Mg-9Al-2Sm-0.05Sr</t>
  </si>
  <si>
    <t>Mg-9Al-2Sm-0.1Sr</t>
  </si>
  <si>
    <t>Mg-9Al-2Sm-0.2Sr</t>
  </si>
  <si>
    <t>Mg-9Al-2Sm-0.5Sr</t>
  </si>
  <si>
    <t>Mg-9Al-2Sm-0.1Ca</t>
  </si>
  <si>
    <t>Mg-9Al-2Sm-0.2Ca</t>
  </si>
  <si>
    <t>117.2±3</t>
  </si>
  <si>
    <t>194.2±18.9</t>
  </si>
  <si>
    <t>Mg-9Al-2Sm-0.5Ca</t>
  </si>
  <si>
    <t>Mg-7Al-2Sn</t>
  </si>
  <si>
    <t>10.27307/d.cnki.gsjtu.2016.002744</t>
  </si>
  <si>
    <t>Mg-6Zn-0.1Ca-0.5Mn</t>
  </si>
  <si>
    <r>
      <rPr>
        <sz val="12"/>
        <color theme="1"/>
        <rFont val="等线"/>
        <charset val="134"/>
      </rPr>
      <t>杆状</t>
    </r>
  </si>
  <si>
    <r>
      <rPr>
        <sz val="12"/>
        <color theme="1"/>
        <rFont val="等线"/>
        <charset val="134"/>
      </rPr>
      <t>保温</t>
    </r>
    <r>
      <rPr>
        <sz val="12"/>
        <color theme="1"/>
        <rFont val="Times New Roman"/>
        <charset val="134"/>
      </rPr>
      <t>380*/16h+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175*8h</t>
    </r>
  </si>
  <si>
    <t>Mg-Al-Mn-Si变形镁合金组织、性能及热变形行为的研究 - 中国知网 (cnki.net)</t>
  </si>
  <si>
    <t>Mg-3Al-0.4Mn-0.1Si</t>
  </si>
  <si>
    <t>Mg-3Al-0.4Mn-0.3Si</t>
  </si>
  <si>
    <t>Mg-3Al-0.4Mn-0.5Si</t>
  </si>
  <si>
    <t>Mg-3Al-0.4Mn-1Si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</si>
  <si>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350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25</t>
    </r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</si>
  <si>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350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25</t>
    </r>
    <r>
      <rPr>
        <sz val="12"/>
        <color theme="1"/>
        <rFont val="SimSun"/>
        <charset val="134"/>
      </rPr>
      <t>，时效</t>
    </r>
    <r>
      <rPr>
        <sz val="12"/>
        <color theme="1"/>
        <rFont val="Times New Roman"/>
        <charset val="134"/>
      </rPr>
      <t>200/4h</t>
    </r>
  </si>
  <si>
    <t>Mg-10Zn</t>
  </si>
  <si>
    <r>
      <rPr>
        <sz val="12"/>
        <color theme="1"/>
        <rFont val="SimSun"/>
        <charset val="134"/>
      </rPr>
      <t>晶界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晶内</t>
    </r>
  </si>
  <si>
    <t>10.27307/d.cnki.gsjtu.2017.000549</t>
  </si>
  <si>
    <t>Mg-10Zn-2Al</t>
  </si>
  <si>
    <t>Mg-10Zn-3.5Al</t>
  </si>
  <si>
    <t>Mg-10Zn-5Al</t>
  </si>
  <si>
    <r>
      <rPr>
        <sz val="12"/>
        <color theme="1"/>
        <rFont val="等线"/>
        <charset val="134"/>
      </rPr>
      <t>铸造</t>
    </r>
    <r>
      <rPr>
        <sz val="12"/>
        <color theme="1"/>
        <rFont val="Times New Roman"/>
        <charset val="134"/>
      </rPr>
      <t>+</t>
    </r>
    <r>
      <rPr>
        <sz val="12"/>
        <color theme="1"/>
        <rFont val="SimSun"/>
        <charset val="134"/>
      </rPr>
      <t>固溶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</si>
  <si>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325*24h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</si>
  <si>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330*24h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</si>
  <si>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335*24h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</si>
  <si>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340*24h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</si>
  <si>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330*24h+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175*9h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</si>
  <si>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335*24h+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175*8h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</si>
  <si>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340*24h+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175*4h</t>
    </r>
  </si>
  <si>
    <t>Mg-10Zn-5Al-0.5Ce</t>
  </si>
  <si>
    <t>Mg-10Zn-5Al-1Ce</t>
  </si>
  <si>
    <t>Mg-10Zn-5Al-2Ce</t>
  </si>
  <si>
    <t>10.27307/d.cnki.gsjtu.2018.003459</t>
  </si>
  <si>
    <t>Mg-2Sc</t>
  </si>
  <si>
    <t>Mg-5Sc</t>
  </si>
  <si>
    <t>Mg-10Sc</t>
  </si>
  <si>
    <t>Mg-15Sc</t>
  </si>
  <si>
    <t>500*6h+225*10h</t>
  </si>
  <si>
    <t>10.27307/d.cnki.gsjtu.2016.002463</t>
  </si>
  <si>
    <r>
      <rPr>
        <sz val="12"/>
        <color theme="1"/>
        <rFont val="SimSun"/>
        <charset val="134"/>
      </rPr>
      <t>挤压</t>
    </r>
    <r>
      <rPr>
        <sz val="12"/>
        <color theme="1"/>
        <rFont val="Times New Roman"/>
        <charset val="134"/>
      </rPr>
      <t>360 225*10h</t>
    </r>
  </si>
  <si>
    <t>Mg-10Y-5Gd-2Zn-0.5Zr</t>
  </si>
  <si>
    <t>Mg-Y-Gd-Zn-Zr镁合金组织、性能及其蠕变行为研究 - 中国知网 (cnki.net)</t>
  </si>
  <si>
    <t>535*16</t>
  </si>
  <si>
    <t>Mg-0.8Zn-0.35Zr</t>
  </si>
  <si>
    <t>Mg-Y-Zn-Zr耐热镁合金组织和性能研究 - 中国知网 (cnki.net)</t>
  </si>
  <si>
    <t>Mg-1Y-0.8Zn-0.35Zr</t>
  </si>
  <si>
    <t>Mg-2Y-0.8Zn-0.35Zr</t>
  </si>
  <si>
    <t>Mg-3Y-0.8Zn-0.35Zr</t>
  </si>
  <si>
    <t xml:space="preserve">Mg-4Y-1Sm-0.5Zr </t>
  </si>
  <si>
    <t>Mg-Y-Sm-Zr系镁合金组织性能研究 - 中国知网 (cnki.net)</t>
  </si>
  <si>
    <t>Mg-4Y-4Sm-0.5Zr</t>
  </si>
  <si>
    <t>Mg-4Y-8Sm-0.5Zr</t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</si>
  <si>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525*8h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</si>
  <si>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525*8h+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200*128h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</si>
  <si>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525*8h+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200*16h</t>
    </r>
  </si>
  <si>
    <r>
      <rPr>
        <sz val="12"/>
        <color theme="1"/>
        <rFont val="等线"/>
        <charset val="134"/>
      </rPr>
      <t>挤压400，挤压比9.3，时效</t>
    </r>
    <r>
      <rPr>
        <sz val="12"/>
        <color theme="1"/>
        <rFont val="Times New Roman"/>
        <charset val="134"/>
      </rPr>
      <t>200*16h</t>
    </r>
  </si>
  <si>
    <t>Mg-4Y-0.5Zr-2Gd-1.6Nd</t>
  </si>
  <si>
    <r>
      <rPr>
        <sz val="12"/>
        <color theme="1"/>
        <rFont val="等线"/>
        <charset val="134"/>
      </rPr>
      <t>挤压400，挤压比9.3时效</t>
    </r>
    <r>
      <rPr>
        <sz val="12"/>
        <color theme="1"/>
        <rFont val="Times New Roman"/>
        <charset val="134"/>
      </rPr>
      <t>200*16h</t>
    </r>
  </si>
  <si>
    <t>Mg-5.5Y-0.5Zr-2Gd-1.6Nd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</si>
  <si>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400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45</t>
    </r>
  </si>
  <si>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200*16h</t>
    </r>
  </si>
  <si>
    <t>Mg-0.3Ce-0.5Zn-0.5Zr</t>
  </si>
  <si>
    <r>
      <rPr>
        <sz val="12"/>
        <color theme="1"/>
        <rFont val="等线"/>
        <charset val="134"/>
      </rPr>
      <t>均匀化</t>
    </r>
    <r>
      <rPr>
        <sz val="12"/>
        <color theme="1"/>
        <rFont val="Times New Roman"/>
        <charset val="134"/>
      </rPr>
      <t>400</t>
    </r>
    <r>
      <rPr>
        <sz val="12"/>
        <color theme="1"/>
        <rFont val="等线"/>
        <charset val="134"/>
      </rPr>
      <t>，挤压</t>
    </r>
    <r>
      <rPr>
        <sz val="12"/>
        <color theme="1"/>
        <rFont val="Times New Roman"/>
        <charset val="134"/>
      </rPr>
      <t>450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9</t>
    </r>
  </si>
  <si>
    <t>挤压Mg-Ce-Zn合金微观组织与力学性能研究 - 中国知网 (cnki.net)</t>
  </si>
  <si>
    <t>Mg-0.3Ce-1.5Zn-0.5Zr</t>
  </si>
  <si>
    <t>Mg-0.3Ce-2Zn-0.5Zr</t>
  </si>
  <si>
    <r>
      <rPr>
        <sz val="12"/>
        <color theme="1"/>
        <rFont val="等线"/>
        <charset val="134"/>
      </rPr>
      <t>挤压速率</t>
    </r>
    <r>
      <rPr>
        <sz val="12"/>
        <color theme="1"/>
        <rFont val="Times New Roman"/>
        <charset val="134"/>
      </rPr>
      <t>0.1 mm/s</t>
    </r>
  </si>
  <si>
    <t>10.27307/d.cnki.gsjtu.2021.000134</t>
  </si>
  <si>
    <r>
      <rPr>
        <sz val="12"/>
        <color theme="1"/>
        <rFont val="等线"/>
        <charset val="134"/>
      </rPr>
      <t>挤压速率</t>
    </r>
    <r>
      <rPr>
        <sz val="12"/>
        <color theme="1"/>
        <rFont val="Times New Roman"/>
        <charset val="134"/>
      </rPr>
      <t>0.5 mm/s</t>
    </r>
  </si>
  <si>
    <r>
      <rPr>
        <sz val="12"/>
        <color theme="1"/>
        <rFont val="等线"/>
        <charset val="134"/>
      </rPr>
      <t>挤压速率</t>
    </r>
    <r>
      <rPr>
        <sz val="12"/>
        <color theme="1"/>
        <rFont val="Times New Roman"/>
        <charset val="134"/>
      </rPr>
      <t>1 mm/s</t>
    </r>
  </si>
  <si>
    <t>10.27670/d.cnki.gcqdu.2021.000641</t>
  </si>
  <si>
    <r>
      <rPr>
        <sz val="12"/>
        <color theme="1"/>
        <rFont val="等线"/>
        <charset val="134"/>
      </rPr>
      <t>铸造+</t>
    </r>
    <r>
      <rPr>
        <sz val="12"/>
        <color theme="1"/>
        <rFont val="SimSun"/>
        <charset val="134"/>
      </rPr>
      <t>固溶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</si>
  <si>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500*24</t>
    </r>
  </si>
  <si>
    <r>
      <rPr>
        <sz val="12"/>
        <color theme="1"/>
        <rFont val="等线"/>
        <charset val="134"/>
      </rPr>
      <t>固溶</t>
    </r>
    <r>
      <rPr>
        <sz val="12"/>
        <color theme="1"/>
        <rFont val="Times New Roman"/>
        <charset val="134"/>
      </rPr>
      <t>500*24+</t>
    </r>
    <r>
      <rPr>
        <sz val="12"/>
        <color theme="1"/>
        <rFont val="等线"/>
        <charset val="134"/>
      </rPr>
      <t>时效</t>
    </r>
    <r>
      <rPr>
        <sz val="12"/>
        <color theme="1"/>
        <rFont val="Times New Roman"/>
        <charset val="134"/>
      </rPr>
      <t>200*27</t>
    </r>
  </si>
  <si>
    <t>Mg-5Al-2Zn</t>
  </si>
  <si>
    <r>
      <rPr>
        <sz val="12"/>
        <color theme="1"/>
        <rFont val="等线"/>
        <charset val="134"/>
      </rPr>
      <t>挤压</t>
    </r>
    <r>
      <rPr>
        <sz val="12"/>
        <color theme="1"/>
        <rFont val="Times New Roman"/>
        <charset val="134"/>
      </rPr>
      <t>410</t>
    </r>
    <r>
      <rPr>
        <sz val="12"/>
        <color theme="1"/>
        <rFont val="等线"/>
        <charset val="134"/>
      </rPr>
      <t>，挤压比</t>
    </r>
    <r>
      <rPr>
        <sz val="12"/>
        <color theme="1"/>
        <rFont val="Times New Roman"/>
        <charset val="134"/>
      </rPr>
      <t>35</t>
    </r>
    <r>
      <rPr>
        <sz val="12"/>
        <color theme="1"/>
        <rFont val="等线"/>
        <charset val="134"/>
      </rPr>
      <t>，挤压速度</t>
    </r>
    <r>
      <rPr>
        <sz val="12"/>
        <color theme="1"/>
        <rFont val="Times New Roman"/>
        <charset val="134"/>
      </rPr>
      <t>1.2m/min</t>
    </r>
  </si>
  <si>
    <t>10.27162/d.cnki.gjlin.2021.000203</t>
  </si>
  <si>
    <t>Mg-5Al-2Zn-0.5Sn</t>
  </si>
  <si>
    <t>Mg-5Al-2Zn-1Sn</t>
  </si>
  <si>
    <t>Mg-5Al-2Zn-2Sn</t>
  </si>
  <si>
    <t>铸造+固溶+轧制</t>
  </si>
  <si>
    <r>
      <rPr>
        <sz val="12"/>
        <color theme="1"/>
        <rFont val="等线"/>
        <charset val="134"/>
      </rPr>
      <t>轧制变形量80%，退火</t>
    </r>
    <r>
      <rPr>
        <sz val="12"/>
        <color theme="1"/>
        <rFont val="Times New Roman"/>
        <charset val="134"/>
      </rPr>
      <t>225*1.5h</t>
    </r>
  </si>
  <si>
    <t>Mg-5Al-2Zn-2Sn-0.5Bi</t>
  </si>
  <si>
    <t>Mg-9Al-1Zn-0.2Mn</t>
  </si>
  <si>
    <r>
      <rPr>
        <sz val="12"/>
        <color theme="1"/>
        <rFont val="等线"/>
        <charset val="134"/>
      </rPr>
      <t>轧制变形量80%，退火</t>
    </r>
    <r>
      <rPr>
        <sz val="12"/>
        <color theme="1"/>
        <rFont val="Times New Roman"/>
        <charset val="134"/>
      </rPr>
      <t>275*1.5h</t>
    </r>
  </si>
  <si>
    <t>Mg-1Al-1Sn-0.3Mn</t>
  </si>
  <si>
    <t>Mg-Al-Sn-Mn系镁合金显微组织与力学性能的研究 - 中国知网 (cnki.net)</t>
  </si>
  <si>
    <t>Mg-3Al-1Sn-0.3Mn</t>
  </si>
  <si>
    <t>Mg-6Al-1Sn-0.3Mn</t>
  </si>
  <si>
    <t>Mg-9Al-1Sn-0.3Mn</t>
  </si>
  <si>
    <t>Mg-1Al-3Sn-0.3Mn</t>
  </si>
  <si>
    <t>Mg-3Al-3Sn-0.3Mn</t>
  </si>
  <si>
    <t>Mg-6Al-3Sn-0.3Mn</t>
  </si>
  <si>
    <t>Mg-9Al-3Sn-0.3Mn</t>
  </si>
  <si>
    <t>Mg-1Al-5Sn-0.3Mn</t>
  </si>
  <si>
    <t>析出相名称（0:无析出相，1: 杂质，LPSO，β’）
【析出相分布】(0:无，晶界，晶内)
【析出相惯习面】（0: 无，1: random，基面，柱面）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</si>
</sst>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_);[Red]\(0.0\)"/>
  </numFmts>
  <fonts count="6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3"/>
      <color theme="1"/>
      <name val="宋体"/>
      <charset val="134"/>
    </font>
    <font>
      <sz val="12"/>
      <color theme="1"/>
      <name val="AdvGulliv"/>
      <charset val="134"/>
    </font>
    <font>
      <sz val="12"/>
      <color rgb="FF211E1E"/>
      <name val="Times New Roman"/>
      <charset val="134"/>
    </font>
    <font>
      <sz val="12"/>
      <color rgb="FF211E1E"/>
      <name val="AdvTT5235d5a9"/>
      <charset val="134"/>
    </font>
    <font>
      <sz val="12"/>
      <color theme="1"/>
      <name val="Times"/>
      <charset val="134"/>
    </font>
    <font>
      <sz val="12"/>
      <color theme="1"/>
      <name val="AdvCaeciliaRm"/>
      <charset val="134"/>
    </font>
    <font>
      <u/>
      <sz val="13"/>
      <color theme="1"/>
      <name val="宋体"/>
      <charset val="134"/>
    </font>
    <font>
      <sz val="13"/>
      <color theme="1"/>
      <name val="SimSun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  <scheme val="minor"/>
    </font>
    <font>
      <sz val="12"/>
      <color rgb="FF2196D1"/>
      <name val="AdvCaeciliaRm"/>
      <charset val="134"/>
    </font>
    <font>
      <sz val="12"/>
      <color rgb="FF2196D1"/>
      <name val="CharisSIL"/>
      <charset val="134"/>
    </font>
    <font>
      <sz val="12"/>
      <color rgb="FF000066"/>
      <name val="AdvGulliv"/>
      <charset val="134"/>
    </font>
    <font>
      <sz val="12"/>
      <color rgb="FF007FAD"/>
      <name val="AdvGulliv"/>
      <charset val="134"/>
    </font>
    <font>
      <u/>
      <sz val="12"/>
      <color theme="10"/>
      <name val="宋体"/>
      <charset val="134"/>
      <scheme val="minor"/>
    </font>
    <font>
      <sz val="12"/>
      <color theme="1"/>
      <name val="MyriadPro"/>
      <charset val="134"/>
    </font>
    <font>
      <sz val="12"/>
      <color theme="1"/>
      <name val="AdvOT596495f2"/>
      <charset val="134"/>
    </font>
    <font>
      <sz val="12"/>
      <color rgb="FF0000FF"/>
      <name val="AdvTT5235d5a9"/>
      <charset val="134"/>
    </font>
    <font>
      <sz val="12"/>
      <color theme="1"/>
      <name val="CharisSIL"/>
      <charset val="134"/>
    </font>
    <font>
      <sz val="12"/>
      <color rgb="FF000000"/>
      <name val="Times"/>
      <charset val="134"/>
    </font>
    <font>
      <sz val="12"/>
      <color theme="1"/>
      <name val="TimesNewRoman"/>
      <charset val="134"/>
    </font>
    <font>
      <sz val="12"/>
      <color rgb="FF000000"/>
      <name val="CharisSIL"/>
      <charset val="134"/>
    </font>
    <font>
      <sz val="12"/>
      <color rgb="FF007FAA"/>
      <name val="Times"/>
      <charset val="134"/>
    </font>
    <font>
      <sz val="12"/>
      <color rgb="FF2196D1"/>
      <name val="Gulliver"/>
      <charset val="134"/>
    </font>
    <font>
      <sz val="12"/>
      <color rgb="FF007FAA"/>
      <name val="GulliverRM"/>
      <charset val="134"/>
    </font>
    <font>
      <sz val="12"/>
      <color theme="1"/>
      <name val="SimSun"/>
      <charset val="134"/>
    </font>
    <font>
      <sz val="12"/>
      <color theme="1"/>
      <name val="等线"/>
      <charset val="134"/>
    </font>
    <font>
      <sz val="12"/>
      <color rgb="FF2196D1"/>
      <name val="AdvOT863180fb"/>
      <charset val="134"/>
    </font>
    <font>
      <sz val="12"/>
      <color theme="1"/>
      <name val="AdvEPSTIM"/>
      <charset val="134"/>
    </font>
    <font>
      <sz val="12"/>
      <color theme="1"/>
      <name val="AdvOT863180fb"/>
      <charset val="134"/>
    </font>
    <font>
      <sz val="12"/>
      <color theme="1"/>
      <name val="AdvP4DF60E"/>
      <charset val="134"/>
    </font>
    <font>
      <sz val="12"/>
      <color theme="1"/>
      <name val="OneGulliverA"/>
      <charset val="134"/>
    </font>
    <font>
      <sz val="12"/>
      <color theme="1"/>
      <name val="AdvPSTim"/>
      <charset val="134"/>
    </font>
    <font>
      <sz val="12"/>
      <color rgb="FF000066"/>
      <name val="AdvEPSTIM"/>
      <charset val="134"/>
    </font>
    <font>
      <sz val="12"/>
      <color rgb="FF007FAA"/>
      <name val="TimesNewRomanPS"/>
      <charset val="134"/>
    </font>
    <font>
      <sz val="12"/>
      <color theme="1"/>
      <name val="AdvP41153C"/>
      <charset val="134"/>
    </font>
    <font>
      <sz val="12"/>
      <color rgb="FF2196D1"/>
      <name val="AdvPSA88A"/>
      <charset val="134"/>
    </font>
    <font>
      <sz val="12"/>
      <color rgb="FF222222"/>
      <name val="Helvetica Neue"/>
      <charset val="134"/>
    </font>
    <font>
      <sz val="12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66"/>
      <name val="Times"/>
      <charset val="134"/>
    </font>
    <font>
      <sz val="12"/>
      <color theme="1"/>
      <name val="AdvP4C4E74"/>
      <charset val="134"/>
    </font>
    <font>
      <sz val="12"/>
      <color theme="1"/>
      <name val="TeX_CM_Maths_Symbols"/>
      <charset val="134"/>
    </font>
    <font>
      <sz val="12"/>
      <color theme="1"/>
      <name val="TimesNewRomanPSMT"/>
      <charset val="134"/>
    </font>
    <font>
      <sz val="12"/>
      <color rgb="FFFF0000"/>
      <name val="宋体"/>
      <charset val="134"/>
      <scheme val="minor"/>
    </font>
    <font>
      <sz val="12"/>
      <color rgb="FF2D2D91"/>
      <name val="AdvTT5235d5a9"/>
      <charset val="134"/>
    </font>
    <font>
      <sz val="12"/>
      <color rgb="FF000066"/>
      <name val="OneGulliverA"/>
      <charset val="134"/>
    </font>
    <font>
      <sz val="12"/>
      <color rgb="FF00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1" fillId="12" borderId="9" applyNumberFormat="0" applyAlignment="0" applyProtection="0">
      <alignment vertical="center"/>
    </xf>
    <xf numFmtId="0" fontId="52" fillId="12" borderId="8" applyNumberFormat="0" applyAlignment="0" applyProtection="0">
      <alignment vertical="center"/>
    </xf>
    <xf numFmtId="0" fontId="53" fillId="13" borderId="10" applyNumberFormat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76" fontId="3" fillId="4" borderId="1" xfId="0" applyNumberFormat="1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77" fontId="3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0" fontId="11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7" fillId="0" borderId="0" xfId="6" applyFont="1">
      <alignment vertical="center"/>
    </xf>
    <xf numFmtId="0" fontId="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0" fontId="24" fillId="0" borderId="0" xfId="0" applyFont="1" applyFill="1" applyAlignment="1">
      <alignment horizontal="left" vertical="center"/>
    </xf>
    <xf numFmtId="0" fontId="25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vertical="center"/>
    </xf>
    <xf numFmtId="0" fontId="28" fillId="0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left" vertical="center"/>
    </xf>
    <xf numFmtId="0" fontId="17" fillId="0" borderId="0" xfId="6" applyFont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17" fillId="0" borderId="0" xfId="6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1" fillId="0" borderId="0" xfId="0" applyFont="1" applyFill="1" applyAlignment="1">
      <alignment horizontal="left" vertical="center"/>
    </xf>
    <xf numFmtId="0" fontId="17" fillId="0" borderId="0" xfId="6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kns.cnki.net/kcms2/article/abstract?v=4j1cDaxzFAkNAN8h1MAH86HOztKiymUrqfzW55OCE-thVnjodiV-9_eJIPZIK9wtml_gwWGZzIixtXE_7j3Qa1-jc4MXr6zGF_q504vA1HVrrMnQuqU5CZSrZrievj_cBt511OnhpmZ-MB2jwQfWNQ==&amp;uniplatform=NZKPT&amp;language=CHS" TargetMode="External"/><Relationship Id="rId8" Type="http://schemas.openxmlformats.org/officeDocument/2006/relationships/hyperlink" Target="https://kns.cnki.net/kcms2/article/abstract?v=4j1cDaxzFAkljFAonUhzuBapUUuITCj0zZMSJOpOhNqfgJDsUdC1AC5-1rPDlXpJTCvEnulvVMgnA33hOuZjcmszAluKS-GCCLMkqYbGhweCARsSq-78uBVdKLzkYJF1IGiQtfowzRHuewA7919mjg==&amp;uniplatform=NZKPT&amp;language=CHS" TargetMode="External"/><Relationship Id="rId7" Type="http://schemas.openxmlformats.org/officeDocument/2006/relationships/hyperlink" Target="https://kns.cnki.net/kcms2/article/abstract?v=dFlgZ3unFPiAkoNFUhMnxk_nQCqHZ1erfKjFz0CMthweLi2QV5TKmFGFxKsQ5ZJR0T_LUo2aXG9dd-PWXQt3QBL4FM_ua1-6VCZuJps_-izC0zUbasg2ik6XgHaB1BpVSDvibnDvB9QlyS8jBX7hSQ==&amp;uniplatform=NZKPT&amp;language=CHS" TargetMode="External"/><Relationship Id="rId6" Type="http://schemas.openxmlformats.org/officeDocument/2006/relationships/hyperlink" Target="https://kns.cnki.net/kcms2/article/abstract?v=sf24_f5fySZhm8sIPWtJDXScSKBOC40Q4SLIhb4ID1Fh6R4xF5MEUSHghA9qjROvdtP6DT48MT4zQq2mA_pqQq40G5F8EC4mYr50Sq0s0cfaCCn9crmo3z4lOa-CbW-oxrV4OZnU85mYn2JSgI-bZg==&amp;uniplatform=NZKPT&amp;language=CHS" TargetMode="External"/><Relationship Id="rId5" Type="http://schemas.openxmlformats.org/officeDocument/2006/relationships/hyperlink" Target="https://kns.cnki.net/kcms2/article/abstract?v=PkrNiO65NLkQQ15tHM5cyvGhFgodvogJotf_-t5I5STX73whxERmEEZoF7-AokcxL_dNjSu0G9y_UiPmTTQ-ug5NjJun9yzn_QtmqIHdfS1DUfjeSbwZDWSTA2jDaioi5XAb6ig3nXQhu5oUB3H-qw==&amp;uniplatform=NZKPT&amp;language=CHS" TargetMode="External"/><Relationship Id="rId49" Type="http://schemas.openxmlformats.org/officeDocument/2006/relationships/hyperlink" Target="https://doi.org/10.1016/j.jmst.2019.11.033" TargetMode="External"/><Relationship Id="rId48" Type="http://schemas.openxmlformats.org/officeDocument/2006/relationships/hyperlink" Target="http://dx.doi.org/10.1016/j.msea.2017.07.048" TargetMode="External"/><Relationship Id="rId47" Type="http://schemas.openxmlformats.org/officeDocument/2006/relationships/hyperlink" Target="https://kns.cnki.net/kcms2/article/abstract?v=La2KlAOQ31SfxOFqBeUe8hLxffhjiR1DSL76vGI451irmcojggTbJVmY3GbcxyoCsc4c5uW7ci0SQtfCQLEryGurZt_ARMvVgwD-tqwvw9yJoC3ZfGoYe6RiKU4EwUlFAJz11oL2wWboScH89VXxhg==&amp;uniplatform=NZKPT&amp;language=CHS" TargetMode="External"/><Relationship Id="rId46" Type="http://schemas.openxmlformats.org/officeDocument/2006/relationships/hyperlink" Target="https://kns.cnki.net/kcms2/article/abstract?v=La2KlAOQ31RWnlwrG6wFMMvGdb0CIHpKWqsgT0ncVHXjYbC7NQ53SeQTn-KjWv8Vl21A1Vndz6YSyl7_9mp1fg2h9kNBdc_cpfdAoyvpaqqdTDAcxZ1wQqGc86fPAWmEd9r2c7b8I2BArgDgMpbm5A==&amp;uniplatform=NZKPT&amp;language=CHS" TargetMode="External"/><Relationship Id="rId45" Type="http://schemas.openxmlformats.org/officeDocument/2006/relationships/hyperlink" Target="https://kns.cnki.net/kcms2/article/abstract?v=La2KlAOQ31T_uRcvAtqTDLtvcvkE0-Eml8zZijVeDeWtJfr3Pz4-GQ5d973kJ7CxiXi3rlAROuy0zhbT-AAX8mAwzCOUgTvNcQ2aj5eXQBwQRs3JP5MBTwqcRTmaMA_kjxTAjJrLZ6TxpbE5Cj7Njw==&amp;uniplatform=NZKPT&amp;language=CHS" TargetMode="External"/><Relationship Id="rId44" Type="http://schemas.openxmlformats.org/officeDocument/2006/relationships/hyperlink" Target="https://kns.cnki.net/kcms2/article/abstract?v=La2KlAOQ31SWHRfDDhtnyF8jRyLyv-DTUxionX62G0GocxO_PPlWnvyse9xfOUh706F08adVO5SvtA8s1eqSuWoR-mzDCErinaGLg4nQ0KpzK_Iix6MoCfKZnyYZPvd4mUxKyjlkxd5o5mr-oOpALW-Iwggki-5Iw3xXAJdY6-E=&amp;uniplatform=NZKPT&amp;language=CHS" TargetMode="External"/><Relationship Id="rId43" Type="http://schemas.openxmlformats.org/officeDocument/2006/relationships/hyperlink" Target="https://kns.cnki.net/kcms2/article/abstract?v=kMpVSI0yL5cLXvD1cEn1fJYjvUwXMYBPkTLpUuul9HjLEq6i8ZYYl7CXrjWw_UMFJgPJ4KOzTBdFvTAbbcryj0DlwMB6X5U-vrFU1gNzbwbxrJjRINida6_W_TKMH8MhvvBp0Y0pnzOEDqzGdePH2A==&amp;uniplatform=NZKPT" TargetMode="External"/><Relationship Id="rId42" Type="http://schemas.openxmlformats.org/officeDocument/2006/relationships/hyperlink" Target="https://kns.cnki.net/kcms2/article/abstract?v=kMpVSI0yL5eLw-YADg4chvuicjzRJiRaj8ipSY6fQJSvu-VIkDwCfsnp489u7e_iGgRfbB6aMsRgSCU3P21XNRElsFII1uI0YhvrJEVqOZDhY3pJlm9Fi1Yj8nO88A-gvC0HAvoXNIspMab35E4j-g==&amp;uniplatform=NZKPT&amp;language=CHS" TargetMode="External"/><Relationship Id="rId41" Type="http://schemas.openxmlformats.org/officeDocument/2006/relationships/hyperlink" Target="https://kns.cnki.net/kcms2/article/abstract?v=IkZuKgafC3WhM9-T6-oqwpAXIWhCVdQ7hZDA8iJ8hR5AtP2b2FGK5P8lHPATVsgr7SzKr7xG57PrU-JNAiF-QSLU7rrzHtsS2kvyJt67a7aybXFirnTji4kCIEFreCjL0V4JcvAI1Ak=&amp;uniplatform=NZKPT" TargetMode="External"/><Relationship Id="rId40" Type="http://schemas.openxmlformats.org/officeDocument/2006/relationships/hyperlink" Target="https://kns.cnki.net/kcms2/article/abstract?v=IkZuKgafC3WVywliP9jvOzftJWMU-slrjgKZ9FwxDudPh4E9uBVshV_s79nrhHYRwk3Z9QJchWYlmEXXoO08EYdnQpxiZFhjx2emdd6dmuDfMOsnTc4G9nP_8SanrPYA98kLYp3ENwZ-YiCJHHN6oQ==&amp;uniplatform=NZKPT" TargetMode="External"/><Relationship Id="rId4" Type="http://schemas.openxmlformats.org/officeDocument/2006/relationships/hyperlink" Target="https://kns.cnki.net/kcms2/article/abstract?v=PkrNiO65NLlP3p8e0PHmfTpsyGT8qqxZIn4gnTNEtYy2ce3einYidcpXeTTNXWgMbgG1E2vEbzr-JKKUDbZP089OZskQBRlhgrRM8WIVdm_R3DXye8dk0N_tg_shPSvzefdzSMqjLQ1iblsk6RkBSw==&amp;uniplatform=NZKPT&amp;language=CHS" TargetMode="External"/><Relationship Id="rId39" Type="http://schemas.openxmlformats.org/officeDocument/2006/relationships/hyperlink" Target="https://kns.cnki.net/kcms2/article/abstract?v=Mw9W0jY1lXDTuQszCq17hPu4tUiJcaz5q-DAqWCrSXrLZCO6OO5q6UlpnD0IWvjYNdAom2SBOvSvXEx5vX4dqxPeSLjhIJYYyjuLY_O4PovlgmXPVdmZe9JRHcnf0SzcqdSJvxSSqatJM98PuHC-Bw==&amp;uniplatform=NZKPT" TargetMode="External"/><Relationship Id="rId38" Type="http://schemas.openxmlformats.org/officeDocument/2006/relationships/hyperlink" Target="https://kns.cnki.net/kcms2/article/abstract?v=Mw9W0jY1lXBEGi6WUij2aSdCm08LcWAHwZ0MHh5Bp8U1YAvssveY4impcN7rDqMFL7tsabNnN6pndEIRxbjQ_KO0WnAXZQ5UUEUeq0nhkSKXfmEISkLDCPcoyONsGj9WOy5cyMkToDZcjESRwxUR5w==&amp;uniplatform=NZKPT" TargetMode="External"/><Relationship Id="rId37" Type="http://schemas.openxmlformats.org/officeDocument/2006/relationships/hyperlink" Target="https://kns.cnki.net/kcms2/article/abstract?v=Mw9W0jY1lXCugOqpa3I4w3Oyj-M2a0tiMiacPAG9907pxPLruAjiDwNoZDefQli9Tbl8Lm7CURLxRpqJdHgbeE8i9A2j-MAEUIDn_0Tx_amxTIYnQBZRxubPTP1goNF-OcrIAf6Xe4I1YPgEizlgprtqnvXAMfiv&amp;uniplatform=NZKPT" TargetMode="External"/><Relationship Id="rId36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35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4" Type="http://schemas.openxmlformats.org/officeDocument/2006/relationships/hyperlink" Target="https://doi.org/10.1016/j.jmrt.2023.02.056" TargetMode="External"/><Relationship Id="rId33" Type="http://schemas.openxmlformats.org/officeDocument/2006/relationships/hyperlink" Target="https://doi.org/10.1016/j.jma.2021.08.037" TargetMode="External"/><Relationship Id="rId32" Type="http://schemas.openxmlformats.org/officeDocument/2006/relationships/hyperlink" Target="https://doi.org/10.1016/j.jmst.2020.05.028" TargetMode="External"/><Relationship Id="rId31" Type="http://schemas.openxmlformats.org/officeDocument/2006/relationships/hyperlink" Target="https://doi.org/10.1016/j.jma.2020.06.009" TargetMode="External"/><Relationship Id="rId30" Type="http://schemas.openxmlformats.org/officeDocument/2006/relationships/hyperlink" Target="http://dx.doi.org/10.1016/j.jallcom.2014.07.028" TargetMode="External"/><Relationship Id="rId3" Type="http://schemas.openxmlformats.org/officeDocument/2006/relationships/hyperlink" Target="https://kns.cnki.net/kcms2/article/abstract?v=OHSidZhWKUkHPgiJ8bInnOuy_YmwXruDzpWRIoXcRPTWHaOp8Zdp2UXiMtqdIfYUcumAR5WIIbXPLVa1Jbdi0gVz5lzs8i2YMSR7LZZdOr3W-KcQs58Bo4NKN7NwlXNn09qjMpuTjgMaJ1Xd4djC-g==&amp;uniplatform=NZKPT&amp;language=CHS" TargetMode="External"/><Relationship Id="rId29" Type="http://schemas.openxmlformats.org/officeDocument/2006/relationships/hyperlink" Target="https://kns.cnki.net/kcms2/article/abstract?v=3uoqIhG8C447WN1SO36whLpCgh0R0Z-iv9r0YoQXiId4v9BfOE9rDk7oKeI4-gsNUA0kcwNyYtbL84zx3CZJ-tcKkm3Rp3G9&amp;uniplatform=NZKPT" TargetMode="External"/><Relationship Id="rId28" Type="http://schemas.openxmlformats.org/officeDocument/2006/relationships/hyperlink" Target="https://kns.cnki.net/kcms2/article/abstract?v=3uoqIhG8C475KOm_zrgu4lQARvep2SAkhskYGsHyiXksOA0FurgRFYl1tr-4xZHIsq8ZzyrssYkWSjpvKk5pGb05N28I4_m1&amp;uniplatform=NZKPT" TargetMode="External"/><Relationship Id="rId27" Type="http://schemas.openxmlformats.org/officeDocument/2006/relationships/hyperlink" Target="https://kns.cnki.net/kcms2/article/abstract?v=3uoqIhG8C447WN1SO36whNHQvLEhcOy4v9J5uF5OhrkGID6XhvjmsEuTpGx0vN3AD6Z0Dn322Y1rYZn_8AvKf21ZgYa35aTM&amp;uniplatform=NZKPT" TargetMode="External"/><Relationship Id="rId26" Type="http://schemas.openxmlformats.org/officeDocument/2006/relationships/hyperlink" Target="https://kns.cnki.net/kcms2/article/abstract?v=3uoqIhG8C447WN1SO36whNHQvLEhcOy4v9J5uF5OhrnQEpjv_r9SmkBUjpHH1eJowvfdrYpZ8QRhd5p5W0UR-iKBIJw4ZWw2&amp;uniplatform=NZKPT" TargetMode="External"/><Relationship Id="rId25" Type="http://schemas.openxmlformats.org/officeDocument/2006/relationships/hyperlink" Target="https://kns.cnki.net/kcms2/article/abstract?v=3uoqIhG8C475KOm_zrgu4lQARvep2SAk6at-NE8M3PgrTsq96O6n6Suqj7LuaS_cIiSH-IM5xTY3m1RAdzd-NsgkJ5DcQQiH&amp;uniplatform=NZKPT" TargetMode="External"/><Relationship Id="rId24" Type="http://schemas.openxmlformats.org/officeDocument/2006/relationships/hyperlink" Target="https://kns.cnki.net/kcms2/article/abstract?v=3uoqIhG8C475KOm_zrgu4lQARvep2SAk6at-NE8M3PgrTsq96O6n6SMPYKsBwQUk0KguSQUNNQt7eaF_ujl-umjM_-wW27g3&amp;uniplatform=NZKPT" TargetMode="External"/><Relationship Id="rId23" Type="http://schemas.openxmlformats.org/officeDocument/2006/relationships/hyperlink" Target="https://kns.cnki.net/kcms2/article/abstract?v=3uoqIhG8C475KOm_zrgu4lQARvep2SAk6nr4r5tSd-_pTaPGgq4znOrTKiQYy0-dIv0WoMDyeFcsQYWVNslTSXvNHb3lLPtn&amp;uniplatform=NZKPT" TargetMode="External"/><Relationship Id="rId22" Type="http://schemas.openxmlformats.org/officeDocument/2006/relationships/hyperlink" Target="https://kns.cnki.net/kcms2/article/abstract?v=3uoqIhG8C475KOm_zrgu4lQARvep2SAkbl4wwVeJ9RmnJRGnwiiNVkXSt4GAkIoIhhcK916PpH_YywnB_cIkm2CyGqzYTPiw&amp;uniplatform=NZKPT" TargetMode="External"/><Relationship Id="rId21" Type="http://schemas.openxmlformats.org/officeDocument/2006/relationships/hyperlink" Target="https://kns.cnki.net/kcms2/article/abstract?v=3uoqIhG8C447WN1SO36whBaOoOkzJ23ELn_-3AAgJ5enmUaXDTPHrKTD_IlPrVyewmDeVRSYblLbuJdpov68J2nLxjypDeO3&amp;uniplatform=NZKPT" TargetMode="External"/><Relationship Id="rId20" Type="http://schemas.openxmlformats.org/officeDocument/2006/relationships/hyperlink" Target="https://doi.org/10.1016/j.jma.2022.10.003" TargetMode="External"/><Relationship Id="rId2" Type="http://schemas.openxmlformats.org/officeDocument/2006/relationships/hyperlink" Target="https://kns.cnki.net/kcms2/article/abstract?v=OHSidZhWKUn0o8DDJt1_SZib4vUTnEXcBFuU6cN6NwTL_BNqwpV00tqxWcVMju0pTdzTd466mBirM6eJUKiWx_SemVpn1EyNCue5KFL-q5iWqFAQowfyXhV2UtMucM8bJBYmPyQm4LB1M0AIj0kLTg==&amp;uniplatform=NZKPT&amp;language=CHS" TargetMode="External"/><Relationship Id="rId19" Type="http://schemas.openxmlformats.org/officeDocument/2006/relationships/hyperlink" Target="https://doi.org/10.1016/S0921-5093(00)01660-9" TargetMode="External"/><Relationship Id="rId18" Type="http://schemas.openxmlformats.org/officeDocument/2006/relationships/hyperlink" Target="https://doi.org/10.3139/146.110721" TargetMode="External"/><Relationship Id="rId17" Type="http://schemas.openxmlformats.org/officeDocument/2006/relationships/hyperlink" Target="https://doi.org/10.1016/j.jma.2019.11.005" TargetMode="External"/><Relationship Id="rId16" Type="http://schemas.openxmlformats.org/officeDocument/2006/relationships/hyperlink" Target="https://doi.org/10.1179/1432891714Z.0000000001135" TargetMode="External"/><Relationship Id="rId15" Type="http://schemas.openxmlformats.org/officeDocument/2006/relationships/hyperlink" Target="http://dx.doi.org/10.1016/j.msea.2013.09.050" TargetMode="External"/><Relationship Id="rId14" Type="http://schemas.openxmlformats.org/officeDocument/2006/relationships/hyperlink" Target="https://doi.org/10.1016/j.actamat.2018.08.045" TargetMode="External"/><Relationship Id="rId13" Type="http://schemas.openxmlformats.org/officeDocument/2006/relationships/hyperlink" Target="https://kns.cnki.net/kcms2/article/abstract?v=4j1cDaxzFAkGhJEUPnykHAR4LzbBrRUwAJKOIee7JVDO0U_HWYlK4gfL48XGrUwPYXlSYKx87xKjGJVN1VDi4s5eQEDPV5vsOTLXALjoo22NfMqA0ARZogCc1PmfGidIckRrT41mg9rZCFZ5sULtVw==&amp;uniplatform=NZKPT&amp;language=CHS" TargetMode="External"/><Relationship Id="rId12" Type="http://schemas.openxmlformats.org/officeDocument/2006/relationships/hyperlink" Target="https://kns.cnki.net/kcms2/article/abstract?v=4j1cDaxzFAnZcK22GEZHvOjsIuCyZF46H5l7mOgH78cUyQMu6UwYm3F2_Kv-6MUKyVkdhZCJpQmyhk1t6QVwKx89myVTACqgHNj6tLEMC-NTTYZHD_mLLydTXp8Rm9ndmuCplEtg4LTj-C2cUy7a3Q==&amp;uniplatform=NZKPT&amp;language=CHS" TargetMode="External"/><Relationship Id="rId11" Type="http://schemas.openxmlformats.org/officeDocument/2006/relationships/hyperlink" Target="https://kns.cnki.net/kcms2/article/abstract?v=4j1cDaxzFAmhEUmGxG2MXYwo0ORRGZAMD-nDvWKxPOlChRA5WYTgY7gTVQf_yUPS8odx9RNeUYYElHr1TBl_gOMhLjaitYODDTtv7hqUnjgiyzpRARWTkylnEOwCePLuH2RPAV7Wzbb5eig70JxzYA==&amp;uniplatform=NZKPT&amp;language=CHS" TargetMode="External"/><Relationship Id="rId10" Type="http://schemas.openxmlformats.org/officeDocument/2006/relationships/hyperlink" Target="https://kns.cnki.net/kcms2/article/abstract?v=4j1cDaxzFAl29PAe_QImL4OcIoXRNKDZBdNeo6F89qZhYL0yQtKfiz6rSWRZItokiBkWxL0oXoiFSFhzllTnzDLda4Clq0bYfEwMMr02-DRPxlnzuvj-7gmXKpdF4RK66yTc2S28gGCV40xgW6lCtA==&amp;uniplatform=NZKPT&amp;language=CHS" TargetMode="External"/><Relationship Id="rId1" Type="http://schemas.openxmlformats.org/officeDocument/2006/relationships/hyperlink" Target="https://kns.cnki.net/kcms2/article/abstract?v=OHSidZhWKUnS7nrHPTmTpwBNtaE6MzYI55r2cCLdowPEbgjvAof3_e8C4PiaAU7GRt3aZStCm6VHItykab55wvBHIaFSWGbyiY4Gkt1Guvw4x2yvvDfw0RCo38_kMvRenTdjlkL2hoXprP9th2YvRg==&amp;uniplatform=NZKPT&amp;language=C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81"/>
  <sheetViews>
    <sheetView tabSelected="1" zoomScale="85" zoomScaleNormal="85" topLeftCell="D1" workbookViewId="0">
      <selection activeCell="L1" sqref="L$1:L$1048576"/>
    </sheetView>
  </sheetViews>
  <sheetFormatPr defaultColWidth="9" defaultRowHeight="13.5"/>
  <cols>
    <col min="1" max="1" width="17.725" customWidth="1"/>
    <col min="2" max="2" width="12.8166666666667" customWidth="1"/>
    <col min="4" max="4" width="63" customWidth="1"/>
    <col min="5" max="5" width="19.3666666666667" customWidth="1"/>
    <col min="6" max="6" width="22" customWidth="1"/>
    <col min="7" max="7" width="14" customWidth="1"/>
    <col min="8" max="8" width="58.8166666666667" customWidth="1"/>
    <col min="9" max="9" width="18.075" customWidth="1"/>
    <col min="10" max="10" width="32.6083333333333" customWidth="1"/>
    <col min="11" max="11" width="29.725" customWidth="1"/>
    <col min="12" max="12" width="13.3666666666667" customWidth="1"/>
    <col min="18" max="18" width="36.0916666666667" customWidth="1"/>
  </cols>
  <sheetData>
    <row r="1" s="2" customFormat="1" ht="15.75" spans="2:22">
      <c r="B1" s="2" t="s">
        <v>0</v>
      </c>
      <c r="C1" s="2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7" t="s">
        <v>6</v>
      </c>
      <c r="I1" s="18" t="s">
        <v>7</v>
      </c>
      <c r="J1" s="19" t="s">
        <v>8</v>
      </c>
      <c r="K1" s="20" t="s">
        <v>9</v>
      </c>
      <c r="L1" s="7" t="s">
        <v>10</v>
      </c>
      <c r="M1" s="21" t="s">
        <v>11</v>
      </c>
      <c r="N1" s="21" t="s">
        <v>12</v>
      </c>
      <c r="O1" s="21" t="s">
        <v>13</v>
      </c>
      <c r="P1" s="22" t="s">
        <v>14</v>
      </c>
      <c r="Q1" s="26"/>
      <c r="R1" s="29"/>
      <c r="S1" s="30"/>
      <c r="T1" s="26"/>
      <c r="U1" s="26"/>
      <c r="V1" s="31"/>
    </row>
    <row r="2" s="2" customFormat="1" ht="15.75" spans="1:22">
      <c r="A2" s="8" t="s">
        <v>15</v>
      </c>
      <c r="B2" s="9">
        <v>1</v>
      </c>
      <c r="C2" s="2">
        <v>1</v>
      </c>
      <c r="D2" s="10" t="s">
        <v>16</v>
      </c>
      <c r="E2" s="11">
        <v>72</v>
      </c>
      <c r="F2" s="11">
        <v>174</v>
      </c>
      <c r="G2" s="12">
        <v>20.96</v>
      </c>
      <c r="H2" s="11">
        <v>0</v>
      </c>
      <c r="I2" s="23"/>
      <c r="K2" s="11">
        <v>0</v>
      </c>
      <c r="L2" s="11">
        <v>0</v>
      </c>
      <c r="R2" s="11" t="s">
        <v>17</v>
      </c>
      <c r="S2" s="11" t="s">
        <v>18</v>
      </c>
      <c r="V2" s="32" t="s">
        <v>19</v>
      </c>
    </row>
    <row r="3" s="2" customFormat="1" ht="15.75" spans="2:22">
      <c r="B3" s="9">
        <v>2</v>
      </c>
      <c r="C3" s="2">
        <v>2</v>
      </c>
      <c r="D3" s="10" t="s">
        <v>20</v>
      </c>
      <c r="E3" s="11">
        <v>84</v>
      </c>
      <c r="F3" s="11">
        <v>188</v>
      </c>
      <c r="G3" s="12">
        <v>18.37</v>
      </c>
      <c r="H3" s="11">
        <v>0</v>
      </c>
      <c r="I3" s="23"/>
      <c r="K3" s="24">
        <v>0</v>
      </c>
      <c r="L3" s="11">
        <v>0</v>
      </c>
      <c r="R3" s="11" t="s">
        <v>17</v>
      </c>
      <c r="S3" s="11" t="s">
        <v>18</v>
      </c>
      <c r="V3" s="32" t="s">
        <v>19</v>
      </c>
    </row>
    <row r="4" s="2" customFormat="1" ht="15.75" spans="2:22">
      <c r="B4" s="9">
        <v>3</v>
      </c>
      <c r="C4" s="2">
        <v>3</v>
      </c>
      <c r="D4" s="10" t="s">
        <v>21</v>
      </c>
      <c r="E4" s="11">
        <v>86</v>
      </c>
      <c r="F4" s="11">
        <v>188</v>
      </c>
      <c r="G4" s="12">
        <v>13.22</v>
      </c>
      <c r="H4" s="11">
        <v>0</v>
      </c>
      <c r="I4" s="23"/>
      <c r="K4" s="11">
        <v>0</v>
      </c>
      <c r="L4" s="11">
        <v>0</v>
      </c>
      <c r="R4" s="11" t="s">
        <v>17</v>
      </c>
      <c r="S4" s="11" t="s">
        <v>18</v>
      </c>
      <c r="V4" s="32" t="s">
        <v>19</v>
      </c>
    </row>
    <row r="5" s="3" customFormat="1" ht="15.75" spans="1:26">
      <c r="A5" s="2"/>
      <c r="B5" s="9">
        <v>4</v>
      </c>
      <c r="C5" s="2">
        <v>4</v>
      </c>
      <c r="D5" s="10" t="s">
        <v>22</v>
      </c>
      <c r="E5" s="11">
        <v>284</v>
      </c>
      <c r="F5" s="11">
        <v>362</v>
      </c>
      <c r="G5" s="12">
        <v>160</v>
      </c>
      <c r="H5" s="11" t="s">
        <v>23</v>
      </c>
      <c r="I5" s="23">
        <v>5</v>
      </c>
      <c r="J5" s="2" t="s">
        <v>24</v>
      </c>
      <c r="K5" s="11" t="s">
        <v>25</v>
      </c>
      <c r="L5" s="11" t="s">
        <v>26</v>
      </c>
      <c r="M5" s="2"/>
      <c r="N5" s="2"/>
      <c r="O5" s="2"/>
      <c r="P5" s="2"/>
      <c r="Q5" s="2"/>
      <c r="R5" s="11" t="s">
        <v>17</v>
      </c>
      <c r="S5" s="11" t="s">
        <v>27</v>
      </c>
      <c r="T5" s="2"/>
      <c r="U5" s="2"/>
      <c r="V5" s="33" t="s">
        <v>28</v>
      </c>
      <c r="X5" s="2"/>
      <c r="Y5" s="2"/>
      <c r="Z5" s="2"/>
    </row>
    <row r="6" s="2" customFormat="1" ht="15.75" spans="2:22">
      <c r="B6" s="9">
        <v>5</v>
      </c>
      <c r="C6" s="2">
        <v>5</v>
      </c>
      <c r="D6" s="10" t="s">
        <v>29</v>
      </c>
      <c r="E6" s="11">
        <v>316</v>
      </c>
      <c r="F6" s="11">
        <v>382</v>
      </c>
      <c r="G6" s="12">
        <v>175</v>
      </c>
      <c r="H6" s="11" t="s">
        <v>23</v>
      </c>
      <c r="I6" s="23">
        <v>7</v>
      </c>
      <c r="J6" s="2" t="s">
        <v>24</v>
      </c>
      <c r="K6" s="11" t="s">
        <v>25</v>
      </c>
      <c r="L6" s="11" t="s">
        <v>26</v>
      </c>
      <c r="R6" s="11" t="s">
        <v>17</v>
      </c>
      <c r="S6" s="11" t="s">
        <v>27</v>
      </c>
      <c r="V6" s="33" t="s">
        <v>28</v>
      </c>
    </row>
    <row r="7" s="2" customFormat="1" ht="15.75" spans="2:22">
      <c r="B7" s="9">
        <v>6</v>
      </c>
      <c r="C7" s="2">
        <v>6</v>
      </c>
      <c r="D7" s="10" t="s">
        <v>30</v>
      </c>
      <c r="E7" s="11">
        <v>285</v>
      </c>
      <c r="F7" s="11">
        <v>352</v>
      </c>
      <c r="G7" s="12">
        <v>250</v>
      </c>
      <c r="H7" s="11" t="s">
        <v>23</v>
      </c>
      <c r="I7" s="23">
        <v>8</v>
      </c>
      <c r="J7" s="2" t="s">
        <v>24</v>
      </c>
      <c r="K7" s="11" t="s">
        <v>25</v>
      </c>
      <c r="L7" s="11" t="s">
        <v>26</v>
      </c>
      <c r="R7" s="11" t="s">
        <v>17</v>
      </c>
      <c r="S7" s="11" t="s">
        <v>27</v>
      </c>
      <c r="V7" s="33" t="s">
        <v>28</v>
      </c>
    </row>
    <row r="8" s="2" customFormat="1" ht="15.75" spans="2:22">
      <c r="B8" s="9">
        <v>7</v>
      </c>
      <c r="C8" s="2">
        <v>7</v>
      </c>
      <c r="D8" s="10" t="s">
        <v>31</v>
      </c>
      <c r="E8" s="11">
        <v>345</v>
      </c>
      <c r="F8" s="11">
        <v>403</v>
      </c>
      <c r="G8" s="12">
        <v>100</v>
      </c>
      <c r="H8" s="11" t="s">
        <v>23</v>
      </c>
      <c r="I8" s="23">
        <v>9</v>
      </c>
      <c r="J8" s="2" t="s">
        <v>24</v>
      </c>
      <c r="K8" s="11" t="s">
        <v>25</v>
      </c>
      <c r="L8" s="11" t="s">
        <v>26</v>
      </c>
      <c r="R8" s="11" t="s">
        <v>17</v>
      </c>
      <c r="S8" s="11" t="s">
        <v>27</v>
      </c>
      <c r="V8" s="33" t="s">
        <v>28</v>
      </c>
    </row>
    <row r="9" s="2" customFormat="1" ht="15.75" spans="2:22">
      <c r="B9" s="9">
        <v>8</v>
      </c>
      <c r="C9" s="2">
        <v>8</v>
      </c>
      <c r="D9" s="10" t="s">
        <v>32</v>
      </c>
      <c r="E9" s="11">
        <v>130</v>
      </c>
      <c r="F9" s="11">
        <v>265</v>
      </c>
      <c r="G9" s="12">
        <v>50</v>
      </c>
      <c r="H9" s="11" t="s">
        <v>23</v>
      </c>
      <c r="I9" s="23">
        <v>20.2</v>
      </c>
      <c r="J9" s="2" t="s">
        <v>33</v>
      </c>
      <c r="K9" s="11" t="s">
        <v>34</v>
      </c>
      <c r="L9" s="11" t="s">
        <v>26</v>
      </c>
      <c r="R9" s="11" t="s">
        <v>35</v>
      </c>
      <c r="S9" s="11" t="s">
        <v>36</v>
      </c>
      <c r="V9" s="34" t="s">
        <v>37</v>
      </c>
    </row>
    <row r="10" s="2" customFormat="1" ht="15.75" spans="2:22">
      <c r="B10" s="9">
        <v>9</v>
      </c>
      <c r="C10" s="2">
        <v>9</v>
      </c>
      <c r="D10" s="10" t="s">
        <v>32</v>
      </c>
      <c r="E10" s="11">
        <v>135</v>
      </c>
      <c r="F10" s="11">
        <v>275</v>
      </c>
      <c r="G10" s="12">
        <v>50</v>
      </c>
      <c r="H10" s="11" t="s">
        <v>23</v>
      </c>
      <c r="I10" s="23">
        <v>20.5</v>
      </c>
      <c r="J10" s="2" t="s">
        <v>33</v>
      </c>
      <c r="K10" s="11" t="s">
        <v>34</v>
      </c>
      <c r="L10" s="11" t="s">
        <v>26</v>
      </c>
      <c r="R10" s="11" t="s">
        <v>35</v>
      </c>
      <c r="S10" s="11" t="s">
        <v>38</v>
      </c>
      <c r="V10" s="34" t="s">
        <v>37</v>
      </c>
    </row>
    <row r="11" s="2" customFormat="1" ht="15.75" spans="2:22">
      <c r="B11" s="9">
        <v>10</v>
      </c>
      <c r="C11" s="2">
        <v>10</v>
      </c>
      <c r="D11" s="10" t="s">
        <v>32</v>
      </c>
      <c r="E11" s="11">
        <v>145</v>
      </c>
      <c r="F11" s="11">
        <v>285</v>
      </c>
      <c r="G11" s="12">
        <v>50</v>
      </c>
      <c r="H11" s="11" t="s">
        <v>23</v>
      </c>
      <c r="I11" s="23">
        <v>23.8</v>
      </c>
      <c r="J11" s="2" t="s">
        <v>33</v>
      </c>
      <c r="K11" s="11" t="s">
        <v>25</v>
      </c>
      <c r="L11" s="11" t="s">
        <v>26</v>
      </c>
      <c r="R11" s="11" t="s">
        <v>35</v>
      </c>
      <c r="S11" s="11" t="s">
        <v>39</v>
      </c>
      <c r="V11" s="34" t="s">
        <v>37</v>
      </c>
    </row>
    <row r="12" s="2" customFormat="1" ht="15.75" spans="2:22">
      <c r="B12" s="9">
        <v>11</v>
      </c>
      <c r="C12" s="2">
        <v>11</v>
      </c>
      <c r="D12" s="10" t="s">
        <v>32</v>
      </c>
      <c r="E12" s="11">
        <v>135</v>
      </c>
      <c r="F12" s="11">
        <v>280</v>
      </c>
      <c r="G12" s="12">
        <v>50</v>
      </c>
      <c r="H12" s="11" t="s">
        <v>23</v>
      </c>
      <c r="I12" s="23">
        <v>25.8</v>
      </c>
      <c r="J12" s="2" t="s">
        <v>33</v>
      </c>
      <c r="K12" s="11" t="s">
        <v>25</v>
      </c>
      <c r="L12" s="11" t="s">
        <v>26</v>
      </c>
      <c r="R12" s="11" t="s">
        <v>35</v>
      </c>
      <c r="S12" s="11" t="s">
        <v>40</v>
      </c>
      <c r="V12" s="34" t="s">
        <v>37</v>
      </c>
    </row>
    <row r="13" s="2" customFormat="1" ht="15.75" spans="2:22">
      <c r="B13" s="9">
        <v>12</v>
      </c>
      <c r="C13" s="2">
        <v>12</v>
      </c>
      <c r="D13" s="10" t="s">
        <v>32</v>
      </c>
      <c r="E13" s="11">
        <v>140</v>
      </c>
      <c r="F13" s="11">
        <v>285</v>
      </c>
      <c r="G13" s="12">
        <v>50</v>
      </c>
      <c r="H13" s="11" t="s">
        <v>23</v>
      </c>
      <c r="I13" s="23">
        <v>30.2</v>
      </c>
      <c r="J13" s="2" t="s">
        <v>33</v>
      </c>
      <c r="K13" s="11" t="s">
        <v>25</v>
      </c>
      <c r="L13" s="11" t="s">
        <v>26</v>
      </c>
      <c r="R13" s="11" t="s">
        <v>35</v>
      </c>
      <c r="S13" s="11" t="s">
        <v>41</v>
      </c>
      <c r="V13" s="34" t="s">
        <v>37</v>
      </c>
    </row>
    <row r="14" s="2" customFormat="1" ht="15.75" spans="2:22">
      <c r="B14" s="9">
        <v>13</v>
      </c>
      <c r="C14" s="2">
        <v>13</v>
      </c>
      <c r="D14" s="10" t="s">
        <v>32</v>
      </c>
      <c r="E14" s="11">
        <v>210</v>
      </c>
      <c r="F14" s="11">
        <v>325</v>
      </c>
      <c r="G14" s="12">
        <v>50</v>
      </c>
      <c r="H14" s="11" t="s">
        <v>23</v>
      </c>
      <c r="I14" s="23" t="s">
        <v>42</v>
      </c>
      <c r="J14" s="2" t="s">
        <v>43</v>
      </c>
      <c r="K14" s="11" t="s">
        <v>25</v>
      </c>
      <c r="L14" s="11" t="s">
        <v>44</v>
      </c>
      <c r="N14" s="2">
        <v>20</v>
      </c>
      <c r="O14" s="2">
        <v>10</v>
      </c>
      <c r="R14" s="11" t="s">
        <v>45</v>
      </c>
      <c r="S14" s="11" t="s">
        <v>46</v>
      </c>
      <c r="V14" s="34" t="s">
        <v>37</v>
      </c>
    </row>
    <row r="15" s="2" customFormat="1" ht="15.75" spans="2:22">
      <c r="B15" s="9">
        <v>14</v>
      </c>
      <c r="C15" s="2">
        <v>14</v>
      </c>
      <c r="D15" s="10" t="s">
        <v>32</v>
      </c>
      <c r="E15" s="11">
        <v>220</v>
      </c>
      <c r="F15" s="11">
        <v>345</v>
      </c>
      <c r="G15" s="12">
        <v>50</v>
      </c>
      <c r="H15" s="11" t="s">
        <v>23</v>
      </c>
      <c r="I15" s="23"/>
      <c r="J15" s="2" t="s">
        <v>43</v>
      </c>
      <c r="K15" s="11" t="s">
        <v>25</v>
      </c>
      <c r="L15" s="11" t="s">
        <v>44</v>
      </c>
      <c r="N15" s="2">
        <v>20</v>
      </c>
      <c r="O15" s="2">
        <v>10</v>
      </c>
      <c r="R15" s="11" t="s">
        <v>45</v>
      </c>
      <c r="S15" s="11" t="s">
        <v>47</v>
      </c>
      <c r="V15" s="34" t="s">
        <v>37</v>
      </c>
    </row>
    <row r="16" s="2" customFormat="1" ht="15.75" spans="2:22">
      <c r="B16" s="9">
        <v>15</v>
      </c>
      <c r="C16" s="2">
        <v>15</v>
      </c>
      <c r="D16" s="10" t="s">
        <v>32</v>
      </c>
      <c r="E16" s="11">
        <v>230</v>
      </c>
      <c r="F16" s="11">
        <v>366</v>
      </c>
      <c r="G16" s="12">
        <v>50</v>
      </c>
      <c r="H16" s="11" t="s">
        <v>23</v>
      </c>
      <c r="I16" s="23" t="s">
        <v>48</v>
      </c>
      <c r="J16" s="2" t="s">
        <v>43</v>
      </c>
      <c r="K16" s="11" t="s">
        <v>25</v>
      </c>
      <c r="L16" s="11" t="s">
        <v>44</v>
      </c>
      <c r="N16" s="2">
        <v>20</v>
      </c>
      <c r="O16" s="2">
        <v>10</v>
      </c>
      <c r="R16" s="11" t="s">
        <v>45</v>
      </c>
      <c r="S16" s="11" t="s">
        <v>49</v>
      </c>
      <c r="V16" s="34" t="s">
        <v>37</v>
      </c>
    </row>
    <row r="17" s="2" customFormat="1" ht="15.75" spans="2:22">
      <c r="B17" s="9">
        <v>16</v>
      </c>
      <c r="C17" s="2">
        <v>16</v>
      </c>
      <c r="D17" s="10" t="s">
        <v>32</v>
      </c>
      <c r="E17" s="11">
        <v>200</v>
      </c>
      <c r="F17" s="11">
        <v>340</v>
      </c>
      <c r="G17" s="12">
        <v>50</v>
      </c>
      <c r="H17" s="11" t="s">
        <v>23</v>
      </c>
      <c r="I17" s="23"/>
      <c r="J17" s="2" t="s">
        <v>43</v>
      </c>
      <c r="K17" s="11" t="s">
        <v>25</v>
      </c>
      <c r="L17" s="11" t="s">
        <v>44</v>
      </c>
      <c r="N17" s="2">
        <v>20</v>
      </c>
      <c r="O17" s="2">
        <v>10</v>
      </c>
      <c r="R17" s="11" t="s">
        <v>45</v>
      </c>
      <c r="S17" s="11" t="s">
        <v>50</v>
      </c>
      <c r="V17" s="34" t="s">
        <v>37</v>
      </c>
    </row>
    <row r="18" s="2" customFormat="1" ht="15.75" spans="2:22">
      <c r="B18" s="9">
        <v>17</v>
      </c>
      <c r="C18" s="2">
        <v>17</v>
      </c>
      <c r="D18" s="10" t="s">
        <v>32</v>
      </c>
      <c r="E18" s="11">
        <v>180</v>
      </c>
      <c r="F18" s="11">
        <v>325</v>
      </c>
      <c r="G18" s="12">
        <v>50</v>
      </c>
      <c r="H18" s="11" t="s">
        <v>23</v>
      </c>
      <c r="I18" s="23" t="s">
        <v>51</v>
      </c>
      <c r="J18" s="2" t="s">
        <v>43</v>
      </c>
      <c r="K18" s="11" t="s">
        <v>25</v>
      </c>
      <c r="L18" s="11" t="s">
        <v>44</v>
      </c>
      <c r="N18" s="2">
        <v>20</v>
      </c>
      <c r="O18" s="2">
        <v>10</v>
      </c>
      <c r="R18" s="11" t="s">
        <v>45</v>
      </c>
      <c r="S18" s="11" t="s">
        <v>52</v>
      </c>
      <c r="V18" s="34" t="s">
        <v>37</v>
      </c>
    </row>
    <row r="19" s="2" customFormat="1" ht="15.75" spans="2:22">
      <c r="B19" s="9">
        <v>18</v>
      </c>
      <c r="C19" s="2">
        <v>18</v>
      </c>
      <c r="D19" s="10" t="s">
        <v>53</v>
      </c>
      <c r="E19" s="11">
        <v>189</v>
      </c>
      <c r="F19" s="11">
        <v>274</v>
      </c>
      <c r="G19" s="12">
        <v>35</v>
      </c>
      <c r="H19" s="11">
        <v>1</v>
      </c>
      <c r="I19" s="23" t="s">
        <v>54</v>
      </c>
      <c r="J19" s="25" t="s">
        <v>55</v>
      </c>
      <c r="K19" s="11" t="s">
        <v>34</v>
      </c>
      <c r="L19" s="11">
        <v>1</v>
      </c>
      <c r="R19" s="11" t="s">
        <v>56</v>
      </c>
      <c r="S19" s="11"/>
      <c r="V19" s="35" t="s">
        <v>57</v>
      </c>
    </row>
    <row r="20" s="2" customFormat="1" ht="15.75" spans="2:22">
      <c r="B20" s="9">
        <v>19</v>
      </c>
      <c r="C20" s="2">
        <v>19</v>
      </c>
      <c r="D20" s="10" t="s">
        <v>53</v>
      </c>
      <c r="E20" s="11">
        <v>162</v>
      </c>
      <c r="F20" s="11">
        <v>292</v>
      </c>
      <c r="G20" s="12">
        <v>45</v>
      </c>
      <c r="H20" s="13">
        <v>1</v>
      </c>
      <c r="I20" s="23">
        <v>5.3</v>
      </c>
      <c r="J20" s="2" t="s">
        <v>55</v>
      </c>
      <c r="K20" s="11" t="s">
        <v>34</v>
      </c>
      <c r="L20" s="11">
        <v>1</v>
      </c>
      <c r="R20" s="11" t="s">
        <v>35</v>
      </c>
      <c r="S20" s="11" t="s">
        <v>58</v>
      </c>
      <c r="V20" s="35" t="s">
        <v>57</v>
      </c>
    </row>
    <row r="21" s="2" customFormat="1" ht="15.75" spans="2:22">
      <c r="B21" s="9">
        <v>20</v>
      </c>
      <c r="C21" s="2">
        <v>20</v>
      </c>
      <c r="D21" s="10" t="s">
        <v>53</v>
      </c>
      <c r="E21" s="11">
        <v>328</v>
      </c>
      <c r="F21" s="11">
        <v>423</v>
      </c>
      <c r="G21" s="12">
        <v>45</v>
      </c>
      <c r="H21" s="11" t="s">
        <v>59</v>
      </c>
      <c r="I21" s="23"/>
      <c r="K21" s="11" t="s">
        <v>60</v>
      </c>
      <c r="L21" s="11" t="s">
        <v>44</v>
      </c>
      <c r="N21" s="2">
        <v>20</v>
      </c>
      <c r="O21" s="2">
        <v>10</v>
      </c>
      <c r="P21" s="26"/>
      <c r="Q21" s="26"/>
      <c r="R21" s="36" t="s">
        <v>45</v>
      </c>
      <c r="S21" s="11" t="s">
        <v>61</v>
      </c>
      <c r="T21" s="26"/>
      <c r="V21" s="37" t="s">
        <v>57</v>
      </c>
    </row>
    <row r="22" s="2" customFormat="1" ht="15.75" spans="2:22">
      <c r="B22" s="9">
        <v>21</v>
      </c>
      <c r="C22" s="2">
        <v>21</v>
      </c>
      <c r="D22" s="10" t="s">
        <v>62</v>
      </c>
      <c r="E22" s="11">
        <v>284</v>
      </c>
      <c r="F22" s="11">
        <v>362</v>
      </c>
      <c r="G22" s="12">
        <f>(3.3*17.6%)+(50*77.5%)</f>
        <v>39.3308</v>
      </c>
      <c r="H22" s="11" t="s">
        <v>23</v>
      </c>
      <c r="I22" s="23">
        <v>4.9</v>
      </c>
      <c r="K22" s="11" t="s">
        <v>34</v>
      </c>
      <c r="L22" s="11" t="s">
        <v>26</v>
      </c>
      <c r="P22" s="26"/>
      <c r="Q22" s="26"/>
      <c r="R22" s="11" t="s">
        <v>63</v>
      </c>
      <c r="S22" s="11" t="s">
        <v>64</v>
      </c>
      <c r="T22" s="26"/>
      <c r="V22" s="33" t="s">
        <v>65</v>
      </c>
    </row>
    <row r="23" s="2" customFormat="1" ht="15.75" spans="2:22">
      <c r="B23" s="9">
        <v>22</v>
      </c>
      <c r="C23" s="2">
        <v>22</v>
      </c>
      <c r="D23" s="10" t="s">
        <v>62</v>
      </c>
      <c r="E23" s="11">
        <v>386</v>
      </c>
      <c r="F23" s="11">
        <v>464</v>
      </c>
      <c r="G23" s="12">
        <f>(3.3*17.6%)+(50*77.5%)</f>
        <v>39.3308</v>
      </c>
      <c r="H23" s="11" t="s">
        <v>59</v>
      </c>
      <c r="I23" s="23"/>
      <c r="K23" s="11" t="s">
        <v>25</v>
      </c>
      <c r="L23" s="11" t="s">
        <v>44</v>
      </c>
      <c r="N23" s="2" t="s">
        <v>66</v>
      </c>
      <c r="O23" s="2">
        <v>5</v>
      </c>
      <c r="P23" s="26"/>
      <c r="Q23" s="26"/>
      <c r="R23" s="11" t="s">
        <v>67</v>
      </c>
      <c r="S23" s="11" t="s">
        <v>68</v>
      </c>
      <c r="T23" s="26"/>
      <c r="V23" s="33" t="s">
        <v>65</v>
      </c>
    </row>
    <row r="24" s="2" customFormat="1" ht="15.75" spans="2:22">
      <c r="B24" s="9">
        <v>23</v>
      </c>
      <c r="C24" s="2">
        <v>23</v>
      </c>
      <c r="D24" s="10" t="s">
        <v>69</v>
      </c>
      <c r="E24" s="11">
        <v>316</v>
      </c>
      <c r="F24" s="11">
        <v>382</v>
      </c>
      <c r="G24" s="12">
        <f>(3.3*14.1%)+(50*79.2%)</f>
        <v>40.0653</v>
      </c>
      <c r="H24" s="11" t="s">
        <v>23</v>
      </c>
      <c r="I24" s="23">
        <v>6.7</v>
      </c>
      <c r="K24" s="11" t="s">
        <v>34</v>
      </c>
      <c r="L24" s="11" t="s">
        <v>26</v>
      </c>
      <c r="R24" s="11" t="s">
        <v>63</v>
      </c>
      <c r="S24" s="11" t="s">
        <v>64</v>
      </c>
      <c r="V24" s="33" t="s">
        <v>65</v>
      </c>
    </row>
    <row r="25" s="2" customFormat="1" ht="15.75" spans="2:22">
      <c r="B25" s="9">
        <v>24</v>
      </c>
      <c r="C25" s="2">
        <v>24</v>
      </c>
      <c r="D25" s="10" t="s">
        <v>69</v>
      </c>
      <c r="E25" s="11">
        <v>442</v>
      </c>
      <c r="F25" s="11">
        <v>493</v>
      </c>
      <c r="G25" s="12">
        <f>(3.3*14.1%)+(50*79.2%)</f>
        <v>40.0653</v>
      </c>
      <c r="H25" s="11" t="s">
        <v>59</v>
      </c>
      <c r="I25" s="23"/>
      <c r="K25" s="11" t="s">
        <v>25</v>
      </c>
      <c r="L25" s="11" t="s">
        <v>44</v>
      </c>
      <c r="N25" s="2" t="s">
        <v>70</v>
      </c>
      <c r="O25" s="2">
        <v>5</v>
      </c>
      <c r="R25" s="11" t="s">
        <v>67</v>
      </c>
      <c r="S25" s="11" t="s">
        <v>68</v>
      </c>
      <c r="V25" s="33" t="s">
        <v>65</v>
      </c>
    </row>
    <row r="26" s="2" customFormat="1" ht="15.75" spans="2:22">
      <c r="B26" s="9">
        <v>25</v>
      </c>
      <c r="C26" s="2">
        <v>25</v>
      </c>
      <c r="D26" s="10" t="s">
        <v>71</v>
      </c>
      <c r="E26" s="11">
        <v>285</v>
      </c>
      <c r="F26" s="11">
        <v>352</v>
      </c>
      <c r="G26" s="12">
        <f>(3.3*4.7%)+(50*87.9%)</f>
        <v>44.1051</v>
      </c>
      <c r="H26" s="11" t="s">
        <v>23</v>
      </c>
      <c r="I26" s="23">
        <v>7.4</v>
      </c>
      <c r="K26" s="11" t="s">
        <v>34</v>
      </c>
      <c r="L26" s="11" t="s">
        <v>26</v>
      </c>
      <c r="R26" s="11" t="s">
        <v>63</v>
      </c>
      <c r="S26" s="11" t="s">
        <v>64</v>
      </c>
      <c r="V26" s="33" t="s">
        <v>65</v>
      </c>
    </row>
    <row r="27" s="2" customFormat="1" ht="15.75" spans="2:22">
      <c r="B27" s="9">
        <v>26</v>
      </c>
      <c r="C27" s="2">
        <v>26</v>
      </c>
      <c r="D27" s="10" t="s">
        <v>71</v>
      </c>
      <c r="E27" s="11">
        <v>420</v>
      </c>
      <c r="F27" s="11">
        <v>487</v>
      </c>
      <c r="G27" s="12">
        <f>(3.3*4.7%)+(50*87.9%)</f>
        <v>44.1051</v>
      </c>
      <c r="H27" s="11" t="s">
        <v>59</v>
      </c>
      <c r="I27" s="23"/>
      <c r="K27" s="11" t="s">
        <v>25</v>
      </c>
      <c r="L27" s="11" t="s">
        <v>44</v>
      </c>
      <c r="N27" s="2" t="s">
        <v>72</v>
      </c>
      <c r="O27" s="2">
        <v>10</v>
      </c>
      <c r="P27" s="26"/>
      <c r="Q27" s="26"/>
      <c r="R27" s="11" t="s">
        <v>67</v>
      </c>
      <c r="S27" s="11" t="s">
        <v>73</v>
      </c>
      <c r="T27" s="26"/>
      <c r="V27" s="33" t="s">
        <v>65</v>
      </c>
    </row>
    <row r="28" s="2" customFormat="1" ht="15.75" spans="2:22">
      <c r="B28" s="9">
        <v>27</v>
      </c>
      <c r="C28" s="2">
        <v>27</v>
      </c>
      <c r="D28" s="10" t="s">
        <v>74</v>
      </c>
      <c r="E28" s="11">
        <v>345</v>
      </c>
      <c r="F28" s="11">
        <v>402</v>
      </c>
      <c r="G28" s="12">
        <f>(3.3*66.6%)+(50*24.6%)</f>
        <v>14.4978</v>
      </c>
      <c r="H28" s="11" t="s">
        <v>23</v>
      </c>
      <c r="I28" s="23">
        <v>8.8</v>
      </c>
      <c r="K28" s="11" t="s">
        <v>34</v>
      </c>
      <c r="L28" s="11" t="s">
        <v>26</v>
      </c>
      <c r="P28" s="26"/>
      <c r="Q28" s="26"/>
      <c r="R28" s="36" t="s">
        <v>63</v>
      </c>
      <c r="S28" s="36" t="s">
        <v>64</v>
      </c>
      <c r="T28" s="26"/>
      <c r="V28" s="33" t="s">
        <v>65</v>
      </c>
    </row>
    <row r="29" s="2" customFormat="1" ht="15.75" spans="2:22">
      <c r="B29" s="9">
        <v>28</v>
      </c>
      <c r="C29" s="2">
        <v>28</v>
      </c>
      <c r="D29" s="10" t="s">
        <v>74</v>
      </c>
      <c r="E29" s="11">
        <v>448</v>
      </c>
      <c r="F29" s="11">
        <v>520</v>
      </c>
      <c r="G29" s="12">
        <f>(3.3*66.6%)+(50*24.6%)</f>
        <v>14.4978</v>
      </c>
      <c r="H29" s="11" t="s">
        <v>59</v>
      </c>
      <c r="I29" s="23"/>
      <c r="K29" s="11" t="s">
        <v>25</v>
      </c>
      <c r="L29" s="11" t="s">
        <v>44</v>
      </c>
      <c r="N29" s="2" t="s">
        <v>75</v>
      </c>
      <c r="O29" s="2">
        <v>5</v>
      </c>
      <c r="P29" s="26"/>
      <c r="Q29" s="26"/>
      <c r="R29" s="36" t="s">
        <v>67</v>
      </c>
      <c r="S29" s="36" t="s">
        <v>68</v>
      </c>
      <c r="T29" s="26"/>
      <c r="V29" s="33" t="s">
        <v>65</v>
      </c>
    </row>
    <row r="30" s="2" customFormat="1" ht="15.75" spans="2:22">
      <c r="B30" s="9">
        <v>29</v>
      </c>
      <c r="C30" s="2">
        <v>29</v>
      </c>
      <c r="D30" s="10" t="s">
        <v>76</v>
      </c>
      <c r="E30" s="11">
        <v>139</v>
      </c>
      <c r="F30" s="11">
        <v>240</v>
      </c>
      <c r="G30" s="12">
        <v>150</v>
      </c>
      <c r="H30" s="11" t="s">
        <v>77</v>
      </c>
      <c r="I30" s="23">
        <v>4</v>
      </c>
      <c r="K30" s="11" t="s">
        <v>60</v>
      </c>
      <c r="L30" s="11" t="s">
        <v>78</v>
      </c>
      <c r="N30" s="2">
        <v>30</v>
      </c>
      <c r="O30" s="2">
        <v>10</v>
      </c>
      <c r="P30" s="26"/>
      <c r="Q30" s="26"/>
      <c r="R30" s="36" t="s">
        <v>45</v>
      </c>
      <c r="S30" s="11" t="s">
        <v>79</v>
      </c>
      <c r="T30" s="26"/>
      <c r="V30" s="38" t="s">
        <v>80</v>
      </c>
    </row>
    <row r="31" s="2" customFormat="1" ht="15.75" spans="2:22">
      <c r="B31" s="9">
        <v>30</v>
      </c>
      <c r="C31" s="2">
        <v>30</v>
      </c>
      <c r="D31" s="14" t="s">
        <v>81</v>
      </c>
      <c r="E31" s="11">
        <v>154</v>
      </c>
      <c r="F31" s="11">
        <v>220</v>
      </c>
      <c r="G31" s="12">
        <v>90</v>
      </c>
      <c r="H31" s="11" t="s">
        <v>77</v>
      </c>
      <c r="I31" s="23">
        <v>12</v>
      </c>
      <c r="K31" s="11" t="s">
        <v>60</v>
      </c>
      <c r="L31" s="11" t="s">
        <v>78</v>
      </c>
      <c r="N31" s="2">
        <v>30</v>
      </c>
      <c r="O31" s="2">
        <v>10</v>
      </c>
      <c r="P31" s="26"/>
      <c r="Q31" s="26"/>
      <c r="R31" s="36" t="s">
        <v>45</v>
      </c>
      <c r="S31" s="11" t="s">
        <v>79</v>
      </c>
      <c r="T31" s="26"/>
      <c r="V31" s="38" t="s">
        <v>80</v>
      </c>
    </row>
    <row r="32" s="2" customFormat="1" ht="15.75" spans="2:22">
      <c r="B32" s="9">
        <v>31</v>
      </c>
      <c r="C32" s="2">
        <v>31</v>
      </c>
      <c r="D32" s="14" t="s">
        <v>82</v>
      </c>
      <c r="E32" s="11">
        <v>289</v>
      </c>
      <c r="F32" s="11">
        <v>340</v>
      </c>
      <c r="G32" s="12">
        <v>40</v>
      </c>
      <c r="H32" s="15" t="s">
        <v>77</v>
      </c>
      <c r="I32" s="23">
        <v>20</v>
      </c>
      <c r="K32" s="11" t="s">
        <v>60</v>
      </c>
      <c r="L32" s="11" t="s">
        <v>78</v>
      </c>
      <c r="N32" s="2">
        <v>30</v>
      </c>
      <c r="O32" s="2">
        <v>10</v>
      </c>
      <c r="R32" s="36" t="s">
        <v>45</v>
      </c>
      <c r="S32" s="11" t="s">
        <v>79</v>
      </c>
      <c r="V32" s="38" t="s">
        <v>80</v>
      </c>
    </row>
    <row r="33" s="2" customFormat="1" ht="15.75" spans="2:22">
      <c r="B33" s="9">
        <v>32</v>
      </c>
      <c r="C33" s="2">
        <v>32</v>
      </c>
      <c r="D33" s="10" t="s">
        <v>83</v>
      </c>
      <c r="E33" s="11">
        <v>149</v>
      </c>
      <c r="F33" s="11">
        <v>283</v>
      </c>
      <c r="G33" s="12">
        <v>52.3</v>
      </c>
      <c r="H33" s="11" t="s">
        <v>23</v>
      </c>
      <c r="I33" s="23">
        <v>20.9</v>
      </c>
      <c r="K33" s="11" t="s">
        <v>34</v>
      </c>
      <c r="L33" s="11" t="s">
        <v>26</v>
      </c>
      <c r="R33" s="36" t="s">
        <v>35</v>
      </c>
      <c r="S33" s="11" t="s">
        <v>84</v>
      </c>
      <c r="V33" s="39" t="s">
        <v>85</v>
      </c>
    </row>
    <row r="34" s="2" customFormat="1" ht="15.75" spans="2:22">
      <c r="B34" s="9">
        <v>33</v>
      </c>
      <c r="C34" s="2">
        <v>33</v>
      </c>
      <c r="D34" s="10" t="s">
        <v>86</v>
      </c>
      <c r="E34" s="11">
        <v>244</v>
      </c>
      <c r="F34" s="11">
        <v>330</v>
      </c>
      <c r="G34" s="12">
        <v>52.6</v>
      </c>
      <c r="H34" s="15" t="s">
        <v>77</v>
      </c>
      <c r="I34" s="23">
        <v>0.97</v>
      </c>
      <c r="K34" s="11" t="s">
        <v>60</v>
      </c>
      <c r="L34" s="11" t="s">
        <v>78</v>
      </c>
      <c r="N34" s="2">
        <v>10</v>
      </c>
      <c r="O34" s="2">
        <v>5</v>
      </c>
      <c r="R34" s="36" t="s">
        <v>45</v>
      </c>
      <c r="S34" s="11" t="s">
        <v>87</v>
      </c>
      <c r="V34" s="39" t="s">
        <v>85</v>
      </c>
    </row>
    <row r="35" s="2" customFormat="1" ht="15.75" spans="2:22">
      <c r="B35" s="9">
        <v>34</v>
      </c>
      <c r="C35" s="2">
        <v>34</v>
      </c>
      <c r="D35" s="10" t="s">
        <v>88</v>
      </c>
      <c r="E35" s="11">
        <v>192</v>
      </c>
      <c r="F35" s="11">
        <v>290</v>
      </c>
      <c r="G35" s="12">
        <v>9</v>
      </c>
      <c r="H35" s="16">
        <v>1</v>
      </c>
      <c r="I35" s="23"/>
      <c r="J35" s="2" t="s">
        <v>89</v>
      </c>
      <c r="K35" s="11" t="s">
        <v>60</v>
      </c>
      <c r="L35" s="11">
        <v>1</v>
      </c>
      <c r="R35" s="36" t="s">
        <v>63</v>
      </c>
      <c r="S35" s="11" t="s">
        <v>90</v>
      </c>
      <c r="V35" s="38" t="s">
        <v>91</v>
      </c>
    </row>
    <row r="36" s="2" customFormat="1" ht="15.75" spans="2:22">
      <c r="B36" s="9">
        <v>35</v>
      </c>
      <c r="C36" s="2">
        <v>35</v>
      </c>
      <c r="D36" s="10" t="s">
        <v>88</v>
      </c>
      <c r="E36" s="11">
        <v>237</v>
      </c>
      <c r="F36" s="11">
        <v>348</v>
      </c>
      <c r="G36" s="12">
        <v>114</v>
      </c>
      <c r="H36" s="16">
        <v>1</v>
      </c>
      <c r="I36" s="23"/>
      <c r="J36" s="2" t="s">
        <v>89</v>
      </c>
      <c r="K36" s="11" t="s">
        <v>60</v>
      </c>
      <c r="L36" s="11">
        <v>1</v>
      </c>
      <c r="R36" s="36" t="s">
        <v>45</v>
      </c>
      <c r="S36" s="11" t="s">
        <v>92</v>
      </c>
      <c r="V36" s="38" t="s">
        <v>91</v>
      </c>
    </row>
    <row r="37" s="2" customFormat="1" ht="15.75" spans="2:22">
      <c r="B37" s="9">
        <v>36</v>
      </c>
      <c r="C37" s="2">
        <v>36</v>
      </c>
      <c r="D37" s="10" t="s">
        <v>88</v>
      </c>
      <c r="E37" s="11">
        <v>228</v>
      </c>
      <c r="F37" s="11">
        <v>341</v>
      </c>
      <c r="G37" s="12">
        <v>15</v>
      </c>
      <c r="H37" s="16">
        <v>1</v>
      </c>
      <c r="I37" s="23"/>
      <c r="J37" s="2" t="s">
        <v>89</v>
      </c>
      <c r="K37" s="11" t="s">
        <v>60</v>
      </c>
      <c r="L37" s="11">
        <v>1</v>
      </c>
      <c r="R37" s="36" t="s">
        <v>67</v>
      </c>
      <c r="S37" s="11" t="s">
        <v>93</v>
      </c>
      <c r="V37" s="38" t="s">
        <v>91</v>
      </c>
    </row>
    <row r="38" s="2" customFormat="1" ht="15.75" spans="2:22">
      <c r="B38" s="9">
        <v>37</v>
      </c>
      <c r="C38" s="2">
        <v>37</v>
      </c>
      <c r="D38" s="10" t="s">
        <v>88</v>
      </c>
      <c r="E38" s="11">
        <v>261</v>
      </c>
      <c r="F38" s="11">
        <v>383</v>
      </c>
      <c r="G38" s="12">
        <v>13</v>
      </c>
      <c r="H38" s="16">
        <v>1</v>
      </c>
      <c r="I38" s="23"/>
      <c r="J38" s="2" t="s">
        <v>89</v>
      </c>
      <c r="K38" s="11" t="s">
        <v>60</v>
      </c>
      <c r="L38" s="11">
        <v>1</v>
      </c>
      <c r="R38" s="36" t="s">
        <v>67</v>
      </c>
      <c r="S38" s="11" t="s">
        <v>94</v>
      </c>
      <c r="V38" s="38" t="s">
        <v>91</v>
      </c>
    </row>
    <row r="39" s="2" customFormat="1" ht="15.75" spans="2:22">
      <c r="B39" s="9">
        <v>38</v>
      </c>
      <c r="C39" s="2">
        <v>38</v>
      </c>
      <c r="D39" s="10" t="s">
        <v>88</v>
      </c>
      <c r="E39" s="11">
        <v>311</v>
      </c>
      <c r="F39" s="11">
        <v>397</v>
      </c>
      <c r="G39" s="12">
        <v>12</v>
      </c>
      <c r="H39" s="16">
        <v>1</v>
      </c>
      <c r="I39" s="23"/>
      <c r="J39" s="2" t="s">
        <v>89</v>
      </c>
      <c r="K39" s="11" t="s">
        <v>60</v>
      </c>
      <c r="L39" s="11">
        <v>1</v>
      </c>
      <c r="R39" s="36" t="s">
        <v>67</v>
      </c>
      <c r="S39" s="36" t="s">
        <v>95</v>
      </c>
      <c r="V39" s="38" t="s">
        <v>91</v>
      </c>
    </row>
    <row r="40" s="2" customFormat="1" ht="15.75" spans="2:22">
      <c r="B40" s="9">
        <v>39</v>
      </c>
      <c r="C40" s="2">
        <v>39</v>
      </c>
      <c r="D40" s="10" t="s">
        <v>88</v>
      </c>
      <c r="E40" s="11">
        <v>297</v>
      </c>
      <c r="F40" s="11">
        <v>395</v>
      </c>
      <c r="G40" s="12">
        <v>12</v>
      </c>
      <c r="H40" s="16">
        <v>1</v>
      </c>
      <c r="I40" s="23"/>
      <c r="J40" s="2" t="s">
        <v>89</v>
      </c>
      <c r="K40" s="11" t="s">
        <v>60</v>
      </c>
      <c r="L40" s="11">
        <v>1</v>
      </c>
      <c r="R40" s="36" t="s">
        <v>96</v>
      </c>
      <c r="S40" s="11"/>
      <c r="V40" s="38" t="s">
        <v>91</v>
      </c>
    </row>
    <row r="41" s="2" customFormat="1" ht="15.75" spans="2:22">
      <c r="B41" s="9">
        <v>40</v>
      </c>
      <c r="C41" s="2">
        <v>40</v>
      </c>
      <c r="D41" s="10" t="s">
        <v>97</v>
      </c>
      <c r="E41" s="11">
        <v>231</v>
      </c>
      <c r="F41" s="11">
        <v>347</v>
      </c>
      <c r="G41" s="12">
        <v>8</v>
      </c>
      <c r="H41" s="16">
        <v>1</v>
      </c>
      <c r="I41" s="23"/>
      <c r="J41" s="2" t="s">
        <v>89</v>
      </c>
      <c r="K41" s="11" t="s">
        <v>60</v>
      </c>
      <c r="L41" s="11">
        <v>1</v>
      </c>
      <c r="R41" s="36" t="s">
        <v>63</v>
      </c>
      <c r="S41" s="11" t="s">
        <v>90</v>
      </c>
      <c r="V41" s="38" t="s">
        <v>91</v>
      </c>
    </row>
    <row r="42" s="2" customFormat="1" ht="15.75" spans="2:22">
      <c r="B42" s="9">
        <v>41</v>
      </c>
      <c r="C42" s="2">
        <v>41</v>
      </c>
      <c r="D42" s="10" t="s">
        <v>97</v>
      </c>
      <c r="E42" s="11">
        <v>253</v>
      </c>
      <c r="F42" s="11">
        <v>364</v>
      </c>
      <c r="G42" s="12">
        <v>102</v>
      </c>
      <c r="H42" s="16">
        <v>1</v>
      </c>
      <c r="I42" s="23"/>
      <c r="J42" s="2" t="s">
        <v>89</v>
      </c>
      <c r="K42" s="11" t="s">
        <v>60</v>
      </c>
      <c r="L42" s="11">
        <v>1</v>
      </c>
      <c r="R42" s="36" t="s">
        <v>45</v>
      </c>
      <c r="S42" s="11" t="s">
        <v>92</v>
      </c>
      <c r="V42" s="38" t="s">
        <v>91</v>
      </c>
    </row>
    <row r="43" s="2" customFormat="1" ht="15.75" spans="2:22">
      <c r="B43" s="9">
        <v>42</v>
      </c>
      <c r="C43" s="2">
        <v>42</v>
      </c>
      <c r="D43" s="10" t="s">
        <v>97</v>
      </c>
      <c r="E43" s="11">
        <v>255</v>
      </c>
      <c r="F43" s="11">
        <v>382</v>
      </c>
      <c r="G43" s="12">
        <v>11</v>
      </c>
      <c r="H43" s="16">
        <v>1</v>
      </c>
      <c r="I43" s="23"/>
      <c r="J43" s="2" t="s">
        <v>89</v>
      </c>
      <c r="K43" s="11" t="s">
        <v>60</v>
      </c>
      <c r="L43" s="11">
        <v>1</v>
      </c>
      <c r="R43" s="36" t="s">
        <v>67</v>
      </c>
      <c r="S43" s="11" t="s">
        <v>98</v>
      </c>
      <c r="V43" s="38" t="s">
        <v>91</v>
      </c>
    </row>
    <row r="44" s="2" customFormat="1" ht="15.75" spans="2:22">
      <c r="B44" s="9">
        <v>43</v>
      </c>
      <c r="C44" s="2">
        <v>43</v>
      </c>
      <c r="D44" s="10" t="s">
        <v>97</v>
      </c>
      <c r="E44" s="11">
        <v>285</v>
      </c>
      <c r="F44" s="11">
        <v>406</v>
      </c>
      <c r="G44" s="12">
        <v>11</v>
      </c>
      <c r="H44" s="16">
        <v>1</v>
      </c>
      <c r="I44" s="23"/>
      <c r="J44" s="2" t="s">
        <v>89</v>
      </c>
      <c r="K44" s="11" t="s">
        <v>60</v>
      </c>
      <c r="L44" s="11">
        <v>1</v>
      </c>
      <c r="R44" s="36" t="s">
        <v>67</v>
      </c>
      <c r="S44" s="11" t="s">
        <v>99</v>
      </c>
      <c r="V44" s="38" t="s">
        <v>91</v>
      </c>
    </row>
    <row r="45" s="2" customFormat="1" ht="15.75" spans="2:22">
      <c r="B45" s="9">
        <v>44</v>
      </c>
      <c r="C45" s="2">
        <v>44</v>
      </c>
      <c r="D45" s="10" t="s">
        <v>97</v>
      </c>
      <c r="E45" s="11">
        <v>339</v>
      </c>
      <c r="F45" s="11">
        <v>428</v>
      </c>
      <c r="G45" s="12">
        <v>11</v>
      </c>
      <c r="H45" s="16">
        <v>1</v>
      </c>
      <c r="I45" s="23"/>
      <c r="J45" s="2" t="s">
        <v>89</v>
      </c>
      <c r="K45" s="11" t="s">
        <v>60</v>
      </c>
      <c r="L45" s="11">
        <v>1</v>
      </c>
      <c r="R45" s="36" t="s">
        <v>67</v>
      </c>
      <c r="S45" s="36" t="s">
        <v>100</v>
      </c>
      <c r="V45" s="38" t="s">
        <v>91</v>
      </c>
    </row>
    <row r="46" s="2" customFormat="1" ht="15.75" spans="2:22">
      <c r="B46" s="9">
        <v>45</v>
      </c>
      <c r="C46" s="2">
        <v>45</v>
      </c>
      <c r="D46" s="10" t="s">
        <v>97</v>
      </c>
      <c r="E46" s="11">
        <v>321</v>
      </c>
      <c r="F46" s="11">
        <v>421</v>
      </c>
      <c r="G46" s="12">
        <v>11</v>
      </c>
      <c r="H46" s="16">
        <v>1</v>
      </c>
      <c r="I46" s="23"/>
      <c r="J46" s="2" t="s">
        <v>89</v>
      </c>
      <c r="K46" s="11" t="s">
        <v>60</v>
      </c>
      <c r="L46" s="11">
        <v>1</v>
      </c>
      <c r="R46" s="36" t="s">
        <v>96</v>
      </c>
      <c r="S46" s="11"/>
      <c r="V46" s="38" t="s">
        <v>91</v>
      </c>
    </row>
    <row r="47" s="2" customFormat="1" ht="15.75" spans="2:22">
      <c r="B47" s="9">
        <v>46</v>
      </c>
      <c r="C47" s="2">
        <v>46</v>
      </c>
      <c r="D47" s="10" t="s">
        <v>101</v>
      </c>
      <c r="E47" s="11">
        <v>316</v>
      </c>
      <c r="F47" s="11">
        <v>386</v>
      </c>
      <c r="G47" s="12">
        <f>(1.3*50%)+(60*50%)</f>
        <v>30.65</v>
      </c>
      <c r="H47" s="16" t="s">
        <v>23</v>
      </c>
      <c r="I47" s="23"/>
      <c r="K47" s="11" t="s">
        <v>34</v>
      </c>
      <c r="L47" s="11" t="s">
        <v>26</v>
      </c>
      <c r="R47" s="36" t="s">
        <v>63</v>
      </c>
      <c r="S47" s="11" t="s">
        <v>102</v>
      </c>
      <c r="V47" s="40" t="s">
        <v>103</v>
      </c>
    </row>
    <row r="48" s="2" customFormat="1" ht="15.75" spans="2:22">
      <c r="B48" s="9">
        <v>47</v>
      </c>
      <c r="C48" s="2">
        <v>47</v>
      </c>
      <c r="D48" s="10" t="s">
        <v>101</v>
      </c>
      <c r="E48" s="11">
        <v>427</v>
      </c>
      <c r="F48" s="11">
        <v>509</v>
      </c>
      <c r="G48" s="12">
        <f>(1.3*50%)+(60*50%)</f>
        <v>30.65</v>
      </c>
      <c r="H48" s="16" t="s">
        <v>59</v>
      </c>
      <c r="I48" s="23" t="s">
        <v>104</v>
      </c>
      <c r="K48" s="11" t="s">
        <v>25</v>
      </c>
      <c r="L48" s="11" t="s">
        <v>44</v>
      </c>
      <c r="N48" s="2" t="s">
        <v>105</v>
      </c>
      <c r="O48" s="27" t="s">
        <v>106</v>
      </c>
      <c r="R48" s="36" t="s">
        <v>67</v>
      </c>
      <c r="S48" s="11" t="s">
        <v>107</v>
      </c>
      <c r="V48" s="40" t="s">
        <v>103</v>
      </c>
    </row>
    <row r="49" s="2" customFormat="1" ht="15.75" spans="2:22">
      <c r="B49" s="9">
        <v>48</v>
      </c>
      <c r="C49" s="2">
        <v>48</v>
      </c>
      <c r="D49" s="10" t="s">
        <v>108</v>
      </c>
      <c r="E49" s="11">
        <v>314</v>
      </c>
      <c r="F49" s="11">
        <v>395</v>
      </c>
      <c r="G49" s="12">
        <v>0.88</v>
      </c>
      <c r="H49" s="11" t="s">
        <v>23</v>
      </c>
      <c r="I49" s="23"/>
      <c r="K49" s="11" t="s">
        <v>25</v>
      </c>
      <c r="L49" s="11" t="s">
        <v>26</v>
      </c>
      <c r="R49" s="36" t="s">
        <v>17</v>
      </c>
      <c r="S49" s="11" t="s">
        <v>109</v>
      </c>
      <c r="V49" s="41" t="s">
        <v>110</v>
      </c>
    </row>
    <row r="50" s="2" customFormat="1" ht="15.75" spans="2:22">
      <c r="B50" s="9">
        <v>49</v>
      </c>
      <c r="C50" s="2">
        <v>49</v>
      </c>
      <c r="D50" s="10" t="s">
        <v>108</v>
      </c>
      <c r="E50" s="11">
        <v>361</v>
      </c>
      <c r="F50" s="11">
        <v>443</v>
      </c>
      <c r="G50" s="12">
        <v>0.82</v>
      </c>
      <c r="H50" s="11" t="s">
        <v>23</v>
      </c>
      <c r="I50" s="23"/>
      <c r="K50" s="11" t="s">
        <v>25</v>
      </c>
      <c r="L50" s="11" t="s">
        <v>26</v>
      </c>
      <c r="R50" s="36" t="s">
        <v>111</v>
      </c>
      <c r="S50" s="11" t="s">
        <v>112</v>
      </c>
      <c r="V50" s="41" t="s">
        <v>110</v>
      </c>
    </row>
    <row r="51" s="2" customFormat="1" ht="15.75" spans="2:22">
      <c r="B51" s="9">
        <v>50</v>
      </c>
      <c r="C51" s="2">
        <v>50</v>
      </c>
      <c r="D51" s="10" t="s">
        <v>108</v>
      </c>
      <c r="E51" s="11">
        <v>443</v>
      </c>
      <c r="F51" s="11">
        <v>445</v>
      </c>
      <c r="G51" s="12">
        <v>0.73</v>
      </c>
      <c r="H51" s="11" t="s">
        <v>23</v>
      </c>
      <c r="I51" s="23"/>
      <c r="K51" s="11" t="s">
        <v>25</v>
      </c>
      <c r="L51" s="11" t="s">
        <v>26</v>
      </c>
      <c r="R51" s="36" t="s">
        <v>113</v>
      </c>
      <c r="S51" s="11" t="s">
        <v>114</v>
      </c>
      <c r="V51" s="41" t="s">
        <v>110</v>
      </c>
    </row>
    <row r="52" s="2" customFormat="1" ht="15.75" spans="2:22">
      <c r="B52" s="9">
        <v>51</v>
      </c>
      <c r="C52" s="2">
        <v>51</v>
      </c>
      <c r="D52" s="10" t="s">
        <v>108</v>
      </c>
      <c r="E52" s="11">
        <v>410</v>
      </c>
      <c r="F52" s="11">
        <v>511</v>
      </c>
      <c r="G52" s="12">
        <v>0.77</v>
      </c>
      <c r="H52" s="16" t="s">
        <v>59</v>
      </c>
      <c r="I52" s="23" t="s">
        <v>115</v>
      </c>
      <c r="K52" s="11" t="s">
        <v>60</v>
      </c>
      <c r="L52" s="11" t="s">
        <v>44</v>
      </c>
      <c r="M52" s="2" t="s">
        <v>116</v>
      </c>
      <c r="N52" s="2" t="s">
        <v>117</v>
      </c>
      <c r="O52" s="2" t="s">
        <v>118</v>
      </c>
      <c r="R52" s="36" t="s">
        <v>119</v>
      </c>
      <c r="S52" s="11" t="s">
        <v>120</v>
      </c>
      <c r="V52" s="41" t="s">
        <v>110</v>
      </c>
    </row>
    <row r="53" s="2" customFormat="1" ht="15.75" spans="2:22">
      <c r="B53" s="9">
        <v>52</v>
      </c>
      <c r="C53" s="2">
        <v>52</v>
      </c>
      <c r="D53" s="10" t="s">
        <v>108</v>
      </c>
      <c r="E53" s="11">
        <v>475</v>
      </c>
      <c r="F53" s="11">
        <v>538</v>
      </c>
      <c r="G53" s="12">
        <v>0.79</v>
      </c>
      <c r="H53" s="16" t="s">
        <v>59</v>
      </c>
      <c r="I53" s="23" t="s">
        <v>121</v>
      </c>
      <c r="K53" s="11" t="s">
        <v>60</v>
      </c>
      <c r="L53" s="11" t="s">
        <v>44</v>
      </c>
      <c r="M53" s="2" t="s">
        <v>122</v>
      </c>
      <c r="N53" s="2" t="s">
        <v>123</v>
      </c>
      <c r="O53" s="2" t="s">
        <v>124</v>
      </c>
      <c r="R53" s="36" t="s">
        <v>125</v>
      </c>
      <c r="S53" s="11" t="s">
        <v>126</v>
      </c>
      <c r="V53" s="41" t="s">
        <v>110</v>
      </c>
    </row>
    <row r="54" s="2" customFormat="1" ht="15.75" spans="2:22">
      <c r="B54" s="9">
        <v>53</v>
      </c>
      <c r="C54" s="2">
        <v>53</v>
      </c>
      <c r="D54" s="10" t="s">
        <v>108</v>
      </c>
      <c r="E54" s="11">
        <v>543</v>
      </c>
      <c r="F54" s="11">
        <v>564</v>
      </c>
      <c r="G54" s="12">
        <v>0.76</v>
      </c>
      <c r="H54" s="16" t="s">
        <v>59</v>
      </c>
      <c r="I54" s="23" t="s">
        <v>127</v>
      </c>
      <c r="K54" s="11" t="s">
        <v>60</v>
      </c>
      <c r="L54" s="11" t="s">
        <v>44</v>
      </c>
      <c r="M54" s="27" t="s">
        <v>128</v>
      </c>
      <c r="N54" s="2" t="s">
        <v>129</v>
      </c>
      <c r="O54" s="2" t="s">
        <v>130</v>
      </c>
      <c r="R54" s="36" t="s">
        <v>131</v>
      </c>
      <c r="S54" s="11" t="s">
        <v>132</v>
      </c>
      <c r="V54" s="41" t="s">
        <v>110</v>
      </c>
    </row>
    <row r="55" s="2" customFormat="1" ht="15.75" spans="2:22">
      <c r="B55" s="9">
        <v>54</v>
      </c>
      <c r="C55" s="2">
        <v>54</v>
      </c>
      <c r="D55" s="10" t="s">
        <v>133</v>
      </c>
      <c r="E55" s="11">
        <v>308</v>
      </c>
      <c r="F55" s="11">
        <v>382</v>
      </c>
      <c r="G55" s="12">
        <f>(1.7*42.7%)+(50*67.3%)</f>
        <v>34.3759</v>
      </c>
      <c r="H55" s="17">
        <v>1</v>
      </c>
      <c r="I55" s="23">
        <v>3.7</v>
      </c>
      <c r="K55" s="11" t="s">
        <v>34</v>
      </c>
      <c r="L55" s="11">
        <v>1</v>
      </c>
      <c r="R55" s="36" t="s">
        <v>17</v>
      </c>
      <c r="S55" s="17" t="s">
        <v>134</v>
      </c>
      <c r="V55" s="32" t="s">
        <v>135</v>
      </c>
    </row>
    <row r="56" s="2" customFormat="1" ht="15.75" spans="2:22">
      <c r="B56" s="9">
        <v>55</v>
      </c>
      <c r="C56" s="2">
        <v>55</v>
      </c>
      <c r="D56" s="10" t="s">
        <v>133</v>
      </c>
      <c r="E56" s="11">
        <v>455</v>
      </c>
      <c r="F56" s="11">
        <v>507</v>
      </c>
      <c r="G56" s="12">
        <f>(1.7*42.7%)+(50*67.3%)</f>
        <v>34.3759</v>
      </c>
      <c r="H56" s="17" t="s">
        <v>136</v>
      </c>
      <c r="I56" s="23">
        <v>6.7</v>
      </c>
      <c r="K56" s="11" t="s">
        <v>25</v>
      </c>
      <c r="L56" s="11" t="s">
        <v>78</v>
      </c>
      <c r="M56" s="2" t="s">
        <v>137</v>
      </c>
      <c r="P56" s="28"/>
      <c r="Q56" s="28"/>
      <c r="R56" s="36" t="s">
        <v>119</v>
      </c>
      <c r="S56" s="17" t="s">
        <v>138</v>
      </c>
      <c r="T56" s="28"/>
      <c r="V56" s="32" t="s">
        <v>135</v>
      </c>
    </row>
    <row r="57" s="2" customFormat="1" ht="15.75" spans="2:22">
      <c r="B57" s="9">
        <v>56</v>
      </c>
      <c r="C57" s="2">
        <v>56</v>
      </c>
      <c r="D57" s="10" t="s">
        <v>139</v>
      </c>
      <c r="E57" s="11">
        <v>337</v>
      </c>
      <c r="F57" s="11">
        <v>406</v>
      </c>
      <c r="G57" s="12">
        <f>(1.6*31%)+(50*79%)</f>
        <v>39.996</v>
      </c>
      <c r="H57" s="17">
        <v>1</v>
      </c>
      <c r="I57" s="23">
        <v>5.2</v>
      </c>
      <c r="K57" s="11" t="s">
        <v>34</v>
      </c>
      <c r="L57" s="11">
        <v>1</v>
      </c>
      <c r="P57" s="28"/>
      <c r="Q57" s="28"/>
      <c r="R57" s="36" t="s">
        <v>17</v>
      </c>
      <c r="S57" s="17" t="s">
        <v>134</v>
      </c>
      <c r="T57" s="28"/>
      <c r="V57" s="32" t="s">
        <v>135</v>
      </c>
    </row>
    <row r="58" s="2" customFormat="1" ht="15.75" spans="2:22">
      <c r="B58" s="9">
        <v>57</v>
      </c>
      <c r="C58" s="2">
        <v>57</v>
      </c>
      <c r="D58" s="10" t="s">
        <v>139</v>
      </c>
      <c r="E58" s="11">
        <v>484</v>
      </c>
      <c r="F58" s="11">
        <v>538</v>
      </c>
      <c r="G58" s="12">
        <f>(1.6*31%)+(50*79%)</f>
        <v>39.996</v>
      </c>
      <c r="H58" s="17" t="s">
        <v>136</v>
      </c>
      <c r="I58" s="23">
        <v>15</v>
      </c>
      <c r="K58" s="11" t="s">
        <v>25</v>
      </c>
      <c r="L58" s="11" t="s">
        <v>78</v>
      </c>
      <c r="M58" s="2" t="s">
        <v>140</v>
      </c>
      <c r="P58" s="28"/>
      <c r="Q58" s="28"/>
      <c r="R58" s="36" t="s">
        <v>119</v>
      </c>
      <c r="S58" s="17" t="s">
        <v>138</v>
      </c>
      <c r="T58" s="28"/>
      <c r="V58" s="32" t="s">
        <v>135</v>
      </c>
    </row>
    <row r="59" s="2" customFormat="1" ht="15.75" spans="2:22">
      <c r="B59" s="9">
        <v>58</v>
      </c>
      <c r="C59" s="2">
        <v>58</v>
      </c>
      <c r="D59" s="10" t="s">
        <v>141</v>
      </c>
      <c r="E59" s="11">
        <v>134</v>
      </c>
      <c r="F59" s="11">
        <v>241.3</v>
      </c>
      <c r="G59" s="12">
        <v>4.49</v>
      </c>
      <c r="H59" s="11">
        <v>0</v>
      </c>
      <c r="I59" s="23"/>
      <c r="K59" s="11">
        <v>0</v>
      </c>
      <c r="L59" s="11">
        <v>0</v>
      </c>
      <c r="P59" s="28"/>
      <c r="Q59" s="28"/>
      <c r="R59" s="36" t="s">
        <v>17</v>
      </c>
      <c r="S59" s="42" t="s">
        <v>142</v>
      </c>
      <c r="T59" s="28"/>
      <c r="V59" s="33" t="s">
        <v>143</v>
      </c>
    </row>
    <row r="60" s="2" customFormat="1" ht="15.75" spans="2:22">
      <c r="B60" s="9">
        <v>59</v>
      </c>
      <c r="C60" s="2">
        <v>59</v>
      </c>
      <c r="D60" s="10" t="s">
        <v>144</v>
      </c>
      <c r="E60" s="11">
        <v>112.9</v>
      </c>
      <c r="F60" s="11">
        <v>210.6</v>
      </c>
      <c r="G60" s="12">
        <v>5.02</v>
      </c>
      <c r="H60" s="11">
        <v>0</v>
      </c>
      <c r="I60" s="23"/>
      <c r="K60" s="11">
        <v>0</v>
      </c>
      <c r="L60" s="11">
        <v>0</v>
      </c>
      <c r="R60" s="36" t="s">
        <v>17</v>
      </c>
      <c r="S60" s="42" t="s">
        <v>142</v>
      </c>
      <c r="V60" s="33" t="s">
        <v>143</v>
      </c>
    </row>
    <row r="61" s="2" customFormat="1" ht="15.75" spans="2:22">
      <c r="B61" s="9">
        <v>60</v>
      </c>
      <c r="C61" s="2">
        <v>60</v>
      </c>
      <c r="D61" s="10" t="s">
        <v>145</v>
      </c>
      <c r="E61" s="11">
        <v>105.8</v>
      </c>
      <c r="F61" s="11">
        <v>201.2</v>
      </c>
      <c r="G61" s="12">
        <v>5.77</v>
      </c>
      <c r="H61" s="11">
        <v>0</v>
      </c>
      <c r="I61" s="23"/>
      <c r="K61" s="11">
        <v>0</v>
      </c>
      <c r="L61" s="11">
        <v>0</v>
      </c>
      <c r="R61" s="36" t="s">
        <v>17</v>
      </c>
      <c r="S61" s="42" t="s">
        <v>142</v>
      </c>
      <c r="V61" s="33" t="s">
        <v>143</v>
      </c>
    </row>
    <row r="62" s="2" customFormat="1" ht="15.75" spans="2:22">
      <c r="B62" s="9">
        <v>61</v>
      </c>
      <c r="C62" s="2">
        <v>61</v>
      </c>
      <c r="D62" s="10" t="s">
        <v>146</v>
      </c>
      <c r="E62" s="11">
        <v>87.9</v>
      </c>
      <c r="F62" s="11">
        <v>185.7</v>
      </c>
      <c r="G62" s="12">
        <v>6.02</v>
      </c>
      <c r="H62" s="11">
        <v>0</v>
      </c>
      <c r="I62" s="23"/>
      <c r="K62" s="11">
        <v>0</v>
      </c>
      <c r="L62" s="11">
        <v>0</v>
      </c>
      <c r="R62" s="36" t="s">
        <v>17</v>
      </c>
      <c r="S62" s="42" t="s">
        <v>142</v>
      </c>
      <c r="V62" s="33" t="s">
        <v>143</v>
      </c>
    </row>
    <row r="63" s="2" customFormat="1" ht="15.75" spans="2:22">
      <c r="B63" s="9">
        <v>62</v>
      </c>
      <c r="C63" s="2">
        <v>62</v>
      </c>
      <c r="D63" s="10" t="s">
        <v>147</v>
      </c>
      <c r="E63" s="11">
        <v>250</v>
      </c>
      <c r="F63" s="11">
        <v>305</v>
      </c>
      <c r="G63" s="12">
        <v>4.2</v>
      </c>
      <c r="H63" s="11">
        <v>0</v>
      </c>
      <c r="I63" s="23"/>
      <c r="K63" s="11">
        <v>0</v>
      </c>
      <c r="L63" s="11">
        <v>0</v>
      </c>
      <c r="R63" s="36" t="s">
        <v>17</v>
      </c>
      <c r="S63" s="42" t="s">
        <v>148</v>
      </c>
      <c r="V63" s="33" t="s">
        <v>149</v>
      </c>
    </row>
    <row r="64" s="2" customFormat="1" ht="15.75" spans="2:22">
      <c r="B64" s="9">
        <v>63</v>
      </c>
      <c r="C64" s="2">
        <v>63</v>
      </c>
      <c r="D64" s="10" t="s">
        <v>147</v>
      </c>
      <c r="E64" s="11">
        <v>200</v>
      </c>
      <c r="F64" s="11">
        <v>300</v>
      </c>
      <c r="G64" s="12">
        <v>16.3</v>
      </c>
      <c r="H64" s="11">
        <v>0</v>
      </c>
      <c r="I64" s="23"/>
      <c r="K64" s="11">
        <v>0</v>
      </c>
      <c r="L64" s="11">
        <v>0</v>
      </c>
      <c r="R64" s="36" t="s">
        <v>17</v>
      </c>
      <c r="S64" s="42" t="s">
        <v>148</v>
      </c>
      <c r="V64" s="33" t="s">
        <v>149</v>
      </c>
    </row>
    <row r="65" s="2" customFormat="1" ht="15.75" spans="2:22">
      <c r="B65" s="9">
        <v>64</v>
      </c>
      <c r="C65" s="2">
        <v>64</v>
      </c>
      <c r="D65" s="10" t="s">
        <v>147</v>
      </c>
      <c r="E65" s="11">
        <v>128</v>
      </c>
      <c r="F65" s="11">
        <v>280</v>
      </c>
      <c r="G65" s="12">
        <v>24.8</v>
      </c>
      <c r="H65" s="11">
        <v>0</v>
      </c>
      <c r="I65" s="23"/>
      <c r="K65" s="11">
        <v>0</v>
      </c>
      <c r="L65" s="11">
        <v>0</v>
      </c>
      <c r="R65" s="36" t="s">
        <v>17</v>
      </c>
      <c r="S65" s="42" t="s">
        <v>148</v>
      </c>
      <c r="V65" s="33" t="s">
        <v>149</v>
      </c>
    </row>
    <row r="66" s="2" customFormat="1" ht="15.75" spans="2:22">
      <c r="B66" s="9">
        <v>65</v>
      </c>
      <c r="C66" s="2">
        <v>65</v>
      </c>
      <c r="D66" s="10" t="s">
        <v>147</v>
      </c>
      <c r="E66" s="11">
        <v>256</v>
      </c>
      <c r="F66" s="11">
        <v>456</v>
      </c>
      <c r="G66" s="12">
        <v>4.2</v>
      </c>
      <c r="H66" s="11" t="s">
        <v>77</v>
      </c>
      <c r="I66" s="23">
        <v>15</v>
      </c>
      <c r="K66" s="11" t="s">
        <v>60</v>
      </c>
      <c r="L66" s="11" t="s">
        <v>78</v>
      </c>
      <c r="N66" s="2">
        <v>20</v>
      </c>
      <c r="O66" s="2">
        <v>5</v>
      </c>
      <c r="R66" s="36" t="s">
        <v>119</v>
      </c>
      <c r="S66" s="42" t="s">
        <v>150</v>
      </c>
      <c r="V66" s="33" t="s">
        <v>149</v>
      </c>
    </row>
    <row r="67" s="2" customFormat="1" ht="15.75" spans="2:22">
      <c r="B67" s="9">
        <v>66</v>
      </c>
      <c r="C67" s="2">
        <v>66</v>
      </c>
      <c r="D67" s="10" t="s">
        <v>147</v>
      </c>
      <c r="E67" s="11">
        <v>334</v>
      </c>
      <c r="F67" s="11">
        <v>405</v>
      </c>
      <c r="G67" s="12">
        <v>16.3</v>
      </c>
      <c r="H67" s="11" t="s">
        <v>77</v>
      </c>
      <c r="I67" s="23">
        <v>25</v>
      </c>
      <c r="K67" s="11" t="s">
        <v>60</v>
      </c>
      <c r="L67" s="11" t="s">
        <v>78</v>
      </c>
      <c r="N67" s="2">
        <v>50</v>
      </c>
      <c r="O67" s="2">
        <v>5</v>
      </c>
      <c r="R67" s="36" t="s">
        <v>119</v>
      </c>
      <c r="S67" s="42" t="s">
        <v>150</v>
      </c>
      <c r="V67" s="33" t="s">
        <v>149</v>
      </c>
    </row>
    <row r="68" s="2" customFormat="1" ht="15.75" spans="2:22">
      <c r="B68" s="9">
        <v>67</v>
      </c>
      <c r="C68" s="2">
        <v>67</v>
      </c>
      <c r="D68" s="10" t="s">
        <v>147</v>
      </c>
      <c r="E68" s="11">
        <v>300</v>
      </c>
      <c r="F68" s="11">
        <v>300</v>
      </c>
      <c r="G68" s="12">
        <v>24.8</v>
      </c>
      <c r="H68" s="11" t="s">
        <v>77</v>
      </c>
      <c r="I68" s="23">
        <v>12</v>
      </c>
      <c r="K68" s="11" t="s">
        <v>60</v>
      </c>
      <c r="L68" s="11" t="s">
        <v>78</v>
      </c>
      <c r="N68" s="2">
        <v>20</v>
      </c>
      <c r="O68" s="2">
        <v>5</v>
      </c>
      <c r="R68" s="36" t="s">
        <v>119</v>
      </c>
      <c r="S68" s="42" t="s">
        <v>150</v>
      </c>
      <c r="V68" s="33" t="s">
        <v>149</v>
      </c>
    </row>
    <row r="69" s="2" customFormat="1" ht="15.75" spans="2:22">
      <c r="B69" s="9">
        <v>68</v>
      </c>
      <c r="C69" s="2">
        <v>68</v>
      </c>
      <c r="D69" s="10" t="s">
        <v>147</v>
      </c>
      <c r="E69" s="11">
        <v>358</v>
      </c>
      <c r="F69" s="11">
        <v>436</v>
      </c>
      <c r="G69" s="12">
        <f>(3.7*95.4%)+(57*4.6%)</f>
        <v>6.1518</v>
      </c>
      <c r="H69" s="11" t="s">
        <v>77</v>
      </c>
      <c r="I69" s="23">
        <v>5.4</v>
      </c>
      <c r="K69" s="11" t="s">
        <v>60</v>
      </c>
      <c r="L69" s="11" t="s">
        <v>78</v>
      </c>
      <c r="N69" s="2">
        <v>37.33</v>
      </c>
      <c r="O69" s="2">
        <v>8.69</v>
      </c>
      <c r="R69" s="36" t="s">
        <v>119</v>
      </c>
      <c r="S69" s="17" t="s">
        <v>151</v>
      </c>
      <c r="V69" s="32" t="s">
        <v>152</v>
      </c>
    </row>
    <row r="70" s="2" customFormat="1" ht="15.75" spans="2:22">
      <c r="B70" s="9">
        <v>69</v>
      </c>
      <c r="C70" s="2">
        <v>69</v>
      </c>
      <c r="D70" s="10" t="s">
        <v>147</v>
      </c>
      <c r="E70" s="11">
        <v>360</v>
      </c>
      <c r="F70" s="11">
        <v>446</v>
      </c>
      <c r="G70" s="12">
        <f>(4*90.3%)+(110*9.7%)</f>
        <v>14.282</v>
      </c>
      <c r="H70" s="11" t="s">
        <v>77</v>
      </c>
      <c r="I70" s="23">
        <v>5.7</v>
      </c>
      <c r="K70" s="11" t="s">
        <v>60</v>
      </c>
      <c r="L70" s="11" t="s">
        <v>78</v>
      </c>
      <c r="N70" s="2">
        <v>35.43</v>
      </c>
      <c r="O70" s="2">
        <v>8.25</v>
      </c>
      <c r="R70" s="36" t="s">
        <v>119</v>
      </c>
      <c r="S70" s="42" t="s">
        <v>153</v>
      </c>
      <c r="V70" s="32" t="s">
        <v>152</v>
      </c>
    </row>
    <row r="71" s="2" customFormat="1" ht="15.75" spans="2:22">
      <c r="B71" s="9">
        <v>70</v>
      </c>
      <c r="C71" s="2">
        <v>70</v>
      </c>
      <c r="D71" s="10" t="s">
        <v>147</v>
      </c>
      <c r="E71" s="11">
        <v>365</v>
      </c>
      <c r="F71" s="11">
        <v>459</v>
      </c>
      <c r="G71" s="12">
        <f>(4.2*82.5%)+(178*17.5%)</f>
        <v>34.615</v>
      </c>
      <c r="H71" s="11" t="s">
        <v>77</v>
      </c>
      <c r="I71" s="23">
        <v>5.9</v>
      </c>
      <c r="K71" s="11" t="s">
        <v>60</v>
      </c>
      <c r="L71" s="11">
        <v>1</v>
      </c>
      <c r="N71" s="2">
        <v>35.6</v>
      </c>
      <c r="O71" s="2">
        <v>8.48</v>
      </c>
      <c r="R71" s="36" t="s">
        <v>119</v>
      </c>
      <c r="S71" s="42" t="s">
        <v>154</v>
      </c>
      <c r="V71" s="37" t="s">
        <v>152</v>
      </c>
    </row>
    <row r="72" s="2" customFormat="1" ht="15.75" spans="2:22">
      <c r="B72" s="9">
        <v>71</v>
      </c>
      <c r="C72" s="2">
        <v>71</v>
      </c>
      <c r="D72" s="10" t="s">
        <v>155</v>
      </c>
      <c r="E72" s="11">
        <v>239</v>
      </c>
      <c r="F72" s="11">
        <v>329</v>
      </c>
      <c r="G72" s="12">
        <v>18.9</v>
      </c>
      <c r="H72" s="11">
        <v>0</v>
      </c>
      <c r="I72" s="23"/>
      <c r="K72" s="11">
        <v>0</v>
      </c>
      <c r="L72" s="11">
        <v>0</v>
      </c>
      <c r="R72" s="36" t="s">
        <v>17</v>
      </c>
      <c r="S72" s="42" t="s">
        <v>156</v>
      </c>
      <c r="V72" s="33" t="s">
        <v>157</v>
      </c>
    </row>
    <row r="73" s="2" customFormat="1" ht="15.75" spans="2:22">
      <c r="B73" s="9">
        <v>72</v>
      </c>
      <c r="C73" s="2">
        <v>72</v>
      </c>
      <c r="D73" s="10" t="s">
        <v>155</v>
      </c>
      <c r="E73" s="11">
        <v>192</v>
      </c>
      <c r="F73" s="11">
        <v>303</v>
      </c>
      <c r="G73" s="12">
        <v>20.8</v>
      </c>
      <c r="H73" s="11">
        <v>0</v>
      </c>
      <c r="I73" s="23"/>
      <c r="K73" s="11">
        <v>0</v>
      </c>
      <c r="L73" s="11">
        <v>0</v>
      </c>
      <c r="R73" s="36" t="s">
        <v>17</v>
      </c>
      <c r="S73" s="42" t="s">
        <v>158</v>
      </c>
      <c r="V73" s="33" t="s">
        <v>157</v>
      </c>
    </row>
    <row r="74" s="2" customFormat="1" ht="15.75" spans="2:22">
      <c r="B74" s="9">
        <v>73</v>
      </c>
      <c r="C74" s="2">
        <v>73</v>
      </c>
      <c r="D74" s="10" t="s">
        <v>155</v>
      </c>
      <c r="E74" s="11">
        <v>198</v>
      </c>
      <c r="F74" s="11">
        <v>310</v>
      </c>
      <c r="G74" s="12">
        <v>19.5</v>
      </c>
      <c r="H74" s="11">
        <v>0</v>
      </c>
      <c r="I74" s="23"/>
      <c r="K74" s="11">
        <v>0</v>
      </c>
      <c r="L74" s="11">
        <v>0</v>
      </c>
      <c r="R74" s="36" t="s">
        <v>17</v>
      </c>
      <c r="S74" s="45" t="s">
        <v>159</v>
      </c>
      <c r="V74" s="33" t="s">
        <v>157</v>
      </c>
    </row>
    <row r="75" s="2" customFormat="1" ht="15.75" spans="2:22">
      <c r="B75" s="9">
        <v>74</v>
      </c>
      <c r="C75" s="2">
        <v>74</v>
      </c>
      <c r="D75" s="10" t="s">
        <v>155</v>
      </c>
      <c r="E75" s="11">
        <v>320</v>
      </c>
      <c r="F75" s="11">
        <v>416</v>
      </c>
      <c r="G75" s="12">
        <v>18.9</v>
      </c>
      <c r="H75" s="11" t="s">
        <v>77</v>
      </c>
      <c r="I75" s="23">
        <v>54.3</v>
      </c>
      <c r="K75" s="11" t="s">
        <v>60</v>
      </c>
      <c r="L75" s="11" t="s">
        <v>78</v>
      </c>
      <c r="N75" s="2">
        <v>20.6</v>
      </c>
      <c r="O75" s="2">
        <v>10.1</v>
      </c>
      <c r="R75" s="36" t="s">
        <v>119</v>
      </c>
      <c r="S75" s="42" t="s">
        <v>160</v>
      </c>
      <c r="V75" s="33" t="s">
        <v>157</v>
      </c>
    </row>
    <row r="76" s="2" customFormat="1" ht="15.75" spans="2:22">
      <c r="B76" s="9">
        <v>75</v>
      </c>
      <c r="C76" s="2">
        <v>75</v>
      </c>
      <c r="D76" s="10" t="s">
        <v>155</v>
      </c>
      <c r="E76" s="11">
        <v>255</v>
      </c>
      <c r="F76" s="11">
        <v>398</v>
      </c>
      <c r="G76" s="12">
        <v>20.8</v>
      </c>
      <c r="H76" s="11" t="s">
        <v>77</v>
      </c>
      <c r="I76" s="23">
        <v>37.4</v>
      </c>
      <c r="K76" s="11" t="s">
        <v>60</v>
      </c>
      <c r="L76" s="11" t="s">
        <v>78</v>
      </c>
      <c r="N76" s="2">
        <v>18.1</v>
      </c>
      <c r="O76" s="2">
        <v>9.7</v>
      </c>
      <c r="R76" s="36" t="s">
        <v>119</v>
      </c>
      <c r="S76" s="42" t="s">
        <v>161</v>
      </c>
      <c r="V76" s="33" t="s">
        <v>157</v>
      </c>
    </row>
    <row r="77" s="2" customFormat="1" ht="15.75" spans="2:22">
      <c r="B77" s="9">
        <v>76</v>
      </c>
      <c r="C77" s="2">
        <v>76</v>
      </c>
      <c r="D77" s="10" t="s">
        <v>155</v>
      </c>
      <c r="E77" s="11">
        <v>266</v>
      </c>
      <c r="F77" s="11">
        <v>409</v>
      </c>
      <c r="G77" s="12">
        <v>19.5</v>
      </c>
      <c r="H77" s="11" t="s">
        <v>77</v>
      </c>
      <c r="I77" s="23">
        <v>37.4</v>
      </c>
      <c r="K77" s="11" t="s">
        <v>60</v>
      </c>
      <c r="L77" s="11" t="s">
        <v>78</v>
      </c>
      <c r="N77" s="2">
        <v>18.1</v>
      </c>
      <c r="O77" s="2">
        <v>9.7</v>
      </c>
      <c r="R77" s="36" t="s">
        <v>119</v>
      </c>
      <c r="S77" s="45" t="s">
        <v>162</v>
      </c>
      <c r="V77" s="33" t="s">
        <v>157</v>
      </c>
    </row>
    <row r="78" s="2" customFormat="1" ht="15.75" spans="2:22">
      <c r="B78" s="9">
        <v>77</v>
      </c>
      <c r="C78" s="2">
        <v>77</v>
      </c>
      <c r="D78" s="10" t="s">
        <v>163</v>
      </c>
      <c r="E78" s="11">
        <v>290</v>
      </c>
      <c r="F78" s="11">
        <v>386</v>
      </c>
      <c r="G78" s="12">
        <v>2.2</v>
      </c>
      <c r="H78" s="16" t="s">
        <v>59</v>
      </c>
      <c r="I78" s="23" t="s">
        <v>164</v>
      </c>
      <c r="K78" s="11" t="s">
        <v>25</v>
      </c>
      <c r="L78" s="11" t="s">
        <v>44</v>
      </c>
      <c r="R78" s="36" t="s">
        <v>165</v>
      </c>
      <c r="S78" s="16" t="s">
        <v>166</v>
      </c>
      <c r="V78" s="37" t="s">
        <v>167</v>
      </c>
    </row>
    <row r="79" s="2" customFormat="1" ht="15.75" spans="2:22">
      <c r="B79" s="9">
        <v>78</v>
      </c>
      <c r="C79" s="2">
        <v>78</v>
      </c>
      <c r="D79" s="10" t="s">
        <v>163</v>
      </c>
      <c r="E79" s="11">
        <v>207</v>
      </c>
      <c r="F79" s="11">
        <v>332</v>
      </c>
      <c r="G79" s="12">
        <v>5.5</v>
      </c>
      <c r="H79" s="16" t="s">
        <v>59</v>
      </c>
      <c r="I79" s="23" t="s">
        <v>168</v>
      </c>
      <c r="K79" s="11" t="s">
        <v>25</v>
      </c>
      <c r="L79" s="11" t="s">
        <v>44</v>
      </c>
      <c r="R79" s="36" t="s">
        <v>169</v>
      </c>
      <c r="S79" s="16" t="s">
        <v>170</v>
      </c>
      <c r="V79" s="46" t="s">
        <v>167</v>
      </c>
    </row>
    <row r="80" s="2" customFormat="1" ht="15.75" spans="2:22">
      <c r="B80" s="9">
        <v>79</v>
      </c>
      <c r="C80" s="2">
        <v>79</v>
      </c>
      <c r="D80" s="10" t="s">
        <v>163</v>
      </c>
      <c r="E80" s="11">
        <v>183</v>
      </c>
      <c r="F80" s="11">
        <v>324</v>
      </c>
      <c r="G80" s="12">
        <v>10.5</v>
      </c>
      <c r="H80" s="43" t="s">
        <v>23</v>
      </c>
      <c r="I80" s="23">
        <v>18.28</v>
      </c>
      <c r="K80" s="11" t="s">
        <v>25</v>
      </c>
      <c r="L80" s="11" t="s">
        <v>26</v>
      </c>
      <c r="R80" s="36" t="s">
        <v>169</v>
      </c>
      <c r="S80" s="16" t="s">
        <v>170</v>
      </c>
      <c r="V80" s="46" t="s">
        <v>167</v>
      </c>
    </row>
    <row r="81" s="2" customFormat="1" ht="15.75" spans="2:22">
      <c r="B81" s="9">
        <v>80</v>
      </c>
      <c r="C81" s="2">
        <v>80</v>
      </c>
      <c r="D81" s="10" t="s">
        <v>163</v>
      </c>
      <c r="E81" s="11">
        <v>305</v>
      </c>
      <c r="F81" s="11">
        <v>421</v>
      </c>
      <c r="G81" s="12">
        <v>2.2</v>
      </c>
      <c r="H81" s="11" t="s">
        <v>59</v>
      </c>
      <c r="I81" s="23"/>
      <c r="K81" s="11" t="s">
        <v>25</v>
      </c>
      <c r="L81" s="11" t="s">
        <v>44</v>
      </c>
      <c r="R81" s="36" t="s">
        <v>171</v>
      </c>
      <c r="S81" s="16" t="s">
        <v>172</v>
      </c>
      <c r="V81" s="46" t="s">
        <v>167</v>
      </c>
    </row>
    <row r="82" s="2" customFormat="1" ht="15.75" spans="2:22">
      <c r="B82" s="9">
        <v>81</v>
      </c>
      <c r="C82" s="2">
        <v>81</v>
      </c>
      <c r="D82" s="10" t="s">
        <v>163</v>
      </c>
      <c r="E82" s="11">
        <v>308</v>
      </c>
      <c r="F82" s="11">
        <v>455</v>
      </c>
      <c r="G82" s="12">
        <v>5.5</v>
      </c>
      <c r="H82" s="11" t="s">
        <v>59</v>
      </c>
      <c r="I82" s="23"/>
      <c r="K82" s="11" t="s">
        <v>25</v>
      </c>
      <c r="L82" s="11" t="s">
        <v>44</v>
      </c>
      <c r="R82" s="36" t="s">
        <v>169</v>
      </c>
      <c r="S82" s="16" t="s">
        <v>173</v>
      </c>
      <c r="V82" s="46" t="s">
        <v>167</v>
      </c>
    </row>
    <row r="83" s="2" customFormat="1" ht="15.75" spans="2:22">
      <c r="B83" s="9">
        <v>82</v>
      </c>
      <c r="C83" s="2">
        <v>82</v>
      </c>
      <c r="D83" s="10" t="s">
        <v>163</v>
      </c>
      <c r="E83" s="11">
        <v>285</v>
      </c>
      <c r="F83" s="11">
        <v>453</v>
      </c>
      <c r="G83" s="12">
        <v>10.5</v>
      </c>
      <c r="H83" s="11" t="s">
        <v>59</v>
      </c>
      <c r="I83" s="23"/>
      <c r="K83" s="11" t="s">
        <v>25</v>
      </c>
      <c r="L83" s="11" t="s">
        <v>44</v>
      </c>
      <c r="R83" s="36" t="s">
        <v>169</v>
      </c>
      <c r="S83" s="16" t="s">
        <v>174</v>
      </c>
      <c r="V83" s="46" t="s">
        <v>167</v>
      </c>
    </row>
    <row r="84" s="2" customFormat="1" ht="15.75" spans="2:22">
      <c r="B84" s="9">
        <v>83</v>
      </c>
      <c r="C84" s="2">
        <v>83</v>
      </c>
      <c r="D84" s="10" t="s">
        <v>175</v>
      </c>
      <c r="E84" s="11">
        <v>136</v>
      </c>
      <c r="F84" s="11">
        <v>225</v>
      </c>
      <c r="G84" s="12">
        <v>70</v>
      </c>
      <c r="H84" s="11" t="s">
        <v>23</v>
      </c>
      <c r="I84" s="23"/>
      <c r="K84" s="11" t="s">
        <v>25</v>
      </c>
      <c r="L84" s="11" t="s">
        <v>176</v>
      </c>
      <c r="R84" s="36" t="s">
        <v>35</v>
      </c>
      <c r="S84" s="16" t="s">
        <v>177</v>
      </c>
      <c r="V84" s="47" t="s">
        <v>178</v>
      </c>
    </row>
    <row r="85" s="2" customFormat="1" ht="15.75" spans="2:22">
      <c r="B85" s="9">
        <v>84</v>
      </c>
      <c r="C85" s="2">
        <v>84</v>
      </c>
      <c r="D85" s="10" t="s">
        <v>175</v>
      </c>
      <c r="E85" s="11">
        <v>184</v>
      </c>
      <c r="F85" s="11">
        <v>250</v>
      </c>
      <c r="G85" s="12">
        <v>70</v>
      </c>
      <c r="H85" s="36" t="s">
        <v>77</v>
      </c>
      <c r="I85" s="23">
        <v>23</v>
      </c>
      <c r="K85" s="11" t="s">
        <v>60</v>
      </c>
      <c r="L85" s="11" t="s">
        <v>78</v>
      </c>
      <c r="N85" s="2">
        <v>22.01</v>
      </c>
      <c r="O85" s="2">
        <v>9.13</v>
      </c>
      <c r="R85" s="36" t="s">
        <v>45</v>
      </c>
      <c r="S85" s="16" t="s">
        <v>179</v>
      </c>
      <c r="V85" s="47" t="s">
        <v>178</v>
      </c>
    </row>
    <row r="86" s="2" customFormat="1" ht="15.75" spans="2:22">
      <c r="B86" s="9">
        <v>85</v>
      </c>
      <c r="C86" s="2">
        <v>85</v>
      </c>
      <c r="D86" s="10" t="s">
        <v>180</v>
      </c>
      <c r="E86" s="11">
        <v>156</v>
      </c>
      <c r="F86" s="11">
        <v>260</v>
      </c>
      <c r="G86" s="12">
        <v>50</v>
      </c>
      <c r="H86" s="11" t="s">
        <v>23</v>
      </c>
      <c r="I86" s="23"/>
      <c r="K86" s="11" t="s">
        <v>25</v>
      </c>
      <c r="L86" s="11" t="s">
        <v>176</v>
      </c>
      <c r="R86" s="36" t="s">
        <v>35</v>
      </c>
      <c r="S86" s="16" t="s">
        <v>177</v>
      </c>
      <c r="V86" s="47" t="s">
        <v>178</v>
      </c>
    </row>
    <row r="87" s="2" customFormat="1" ht="15.75" spans="2:22">
      <c r="B87" s="9">
        <v>86</v>
      </c>
      <c r="C87" s="2">
        <v>86</v>
      </c>
      <c r="D87" s="10" t="s">
        <v>180</v>
      </c>
      <c r="E87" s="11">
        <v>218</v>
      </c>
      <c r="F87" s="11">
        <v>292</v>
      </c>
      <c r="G87" s="12">
        <v>50</v>
      </c>
      <c r="H87" s="36" t="s">
        <v>59</v>
      </c>
      <c r="I87" s="23" t="s">
        <v>181</v>
      </c>
      <c r="K87" s="11" t="s">
        <v>60</v>
      </c>
      <c r="L87" s="11" t="s">
        <v>44</v>
      </c>
      <c r="M87" s="2" t="s">
        <v>182</v>
      </c>
      <c r="N87" s="2" t="s">
        <v>183</v>
      </c>
      <c r="O87" s="2" t="s">
        <v>184</v>
      </c>
      <c r="R87" s="36" t="s">
        <v>45</v>
      </c>
      <c r="S87" s="16" t="s">
        <v>185</v>
      </c>
      <c r="V87" s="47" t="s">
        <v>178</v>
      </c>
    </row>
    <row r="88" s="2" customFormat="1" ht="15.75" spans="2:22">
      <c r="B88" s="9">
        <v>87</v>
      </c>
      <c r="C88" s="2">
        <v>87</v>
      </c>
      <c r="D88" s="10" t="s">
        <v>186</v>
      </c>
      <c r="E88" s="11">
        <v>134.9</v>
      </c>
      <c r="F88" s="11">
        <v>247.8</v>
      </c>
      <c r="G88" s="12">
        <v>70</v>
      </c>
      <c r="H88" s="11" t="s">
        <v>23</v>
      </c>
      <c r="I88" s="23" t="s">
        <v>187</v>
      </c>
      <c r="K88" s="11" t="s">
        <v>25</v>
      </c>
      <c r="L88" s="11">
        <v>1</v>
      </c>
      <c r="R88" s="36" t="s">
        <v>56</v>
      </c>
      <c r="S88" s="11"/>
      <c r="V88" s="37" t="s">
        <v>188</v>
      </c>
    </row>
    <row r="89" s="2" customFormat="1" ht="15.75" spans="2:22">
      <c r="B89" s="9">
        <v>88</v>
      </c>
      <c r="C89" s="2">
        <v>88</v>
      </c>
      <c r="D89" s="10" t="s">
        <v>189</v>
      </c>
      <c r="E89" s="11">
        <v>90.8</v>
      </c>
      <c r="F89" s="11">
        <v>180.7</v>
      </c>
      <c r="G89" s="12">
        <v>82.8</v>
      </c>
      <c r="H89" s="36" t="s">
        <v>190</v>
      </c>
      <c r="I89" s="23" t="s">
        <v>191</v>
      </c>
      <c r="K89" s="11" t="s">
        <v>25</v>
      </c>
      <c r="L89" s="11">
        <v>1</v>
      </c>
      <c r="R89" s="36" t="s">
        <v>35</v>
      </c>
      <c r="S89" s="16" t="s">
        <v>192</v>
      </c>
      <c r="V89" s="46" t="s">
        <v>188</v>
      </c>
    </row>
    <row r="90" s="2" customFormat="1" ht="15.75" spans="2:22">
      <c r="B90" s="9">
        <v>89</v>
      </c>
      <c r="C90" s="2">
        <v>89</v>
      </c>
      <c r="D90" s="10" t="s">
        <v>186</v>
      </c>
      <c r="E90" s="11">
        <v>110.2</v>
      </c>
      <c r="F90" s="11">
        <v>208.4</v>
      </c>
      <c r="G90" s="12">
        <v>92.9</v>
      </c>
      <c r="H90" s="36" t="s">
        <v>190</v>
      </c>
      <c r="I90" s="23" t="s">
        <v>193</v>
      </c>
      <c r="K90" s="11" t="s">
        <v>25</v>
      </c>
      <c r="L90" s="11">
        <v>1</v>
      </c>
      <c r="R90" s="36" t="s">
        <v>45</v>
      </c>
      <c r="S90" s="16" t="s">
        <v>194</v>
      </c>
      <c r="V90" s="46" t="s">
        <v>188</v>
      </c>
    </row>
    <row r="91" s="2" customFormat="1" ht="15.75" spans="2:22">
      <c r="B91" s="9">
        <v>90</v>
      </c>
      <c r="C91" s="2">
        <v>90</v>
      </c>
      <c r="D91" s="10" t="s">
        <v>195</v>
      </c>
      <c r="E91" s="11">
        <v>123.2</v>
      </c>
      <c r="F91" s="11">
        <v>228.8</v>
      </c>
      <c r="G91" s="12">
        <v>58.9</v>
      </c>
      <c r="H91" s="36" t="s">
        <v>23</v>
      </c>
      <c r="I91" s="23">
        <v>23.6</v>
      </c>
      <c r="K91" s="11" t="s">
        <v>60</v>
      </c>
      <c r="L91" s="11" t="s">
        <v>26</v>
      </c>
      <c r="R91" s="36" t="s">
        <v>56</v>
      </c>
      <c r="S91" s="11"/>
      <c r="V91" s="46" t="s">
        <v>188</v>
      </c>
    </row>
    <row r="92" s="2" customFormat="1" ht="15.75" spans="2:22">
      <c r="B92" s="9">
        <v>91</v>
      </c>
      <c r="C92" s="2">
        <v>91</v>
      </c>
      <c r="D92" s="10" t="s">
        <v>195</v>
      </c>
      <c r="E92" s="11">
        <v>104.6</v>
      </c>
      <c r="F92" s="11">
        <v>210.2</v>
      </c>
      <c r="G92" s="12">
        <v>87.6</v>
      </c>
      <c r="H92" s="36" t="s">
        <v>23</v>
      </c>
      <c r="I92" s="23">
        <v>21.5</v>
      </c>
      <c r="K92" s="11" t="s">
        <v>60</v>
      </c>
      <c r="L92" s="11" t="s">
        <v>26</v>
      </c>
      <c r="R92" s="36" t="s">
        <v>35</v>
      </c>
      <c r="S92" s="16" t="s">
        <v>192</v>
      </c>
      <c r="V92" s="46" t="s">
        <v>188</v>
      </c>
    </row>
    <row r="93" s="2" customFormat="1" ht="15.75" spans="2:22">
      <c r="B93" s="9">
        <v>92</v>
      </c>
      <c r="C93" s="2">
        <v>92</v>
      </c>
      <c r="D93" s="10" t="s">
        <v>196</v>
      </c>
      <c r="E93" s="11">
        <v>120.3</v>
      </c>
      <c r="F93" s="11">
        <v>217.4</v>
      </c>
      <c r="G93" s="12">
        <v>95.7</v>
      </c>
      <c r="H93" s="36" t="s">
        <v>23</v>
      </c>
      <c r="I93" s="23">
        <v>22.9</v>
      </c>
      <c r="K93" s="11" t="s">
        <v>60</v>
      </c>
      <c r="L93" s="11" t="s">
        <v>26</v>
      </c>
      <c r="R93" s="36" t="s">
        <v>45</v>
      </c>
      <c r="S93" s="16" t="s">
        <v>197</v>
      </c>
      <c r="V93" s="46" t="s">
        <v>188</v>
      </c>
    </row>
    <row r="94" s="2" customFormat="1" ht="15.75" spans="2:22">
      <c r="B94" s="9">
        <v>93</v>
      </c>
      <c r="C94" s="2">
        <v>93</v>
      </c>
      <c r="D94" s="10" t="s">
        <v>198</v>
      </c>
      <c r="E94" s="11">
        <v>85</v>
      </c>
      <c r="F94" s="11">
        <v>220</v>
      </c>
      <c r="G94" s="12">
        <v>55</v>
      </c>
      <c r="H94" s="11">
        <v>0</v>
      </c>
      <c r="I94" s="23"/>
      <c r="K94" s="11">
        <v>0</v>
      </c>
      <c r="L94" s="11">
        <v>0</v>
      </c>
      <c r="R94" s="36" t="s">
        <v>35</v>
      </c>
      <c r="S94" s="16" t="s">
        <v>199</v>
      </c>
      <c r="V94" s="48" t="s">
        <v>200</v>
      </c>
    </row>
    <row r="95" s="2" customFormat="1" ht="15.75" spans="2:22">
      <c r="B95" s="9">
        <v>94</v>
      </c>
      <c r="C95" s="2">
        <v>94</v>
      </c>
      <c r="D95" s="10" t="s">
        <v>198</v>
      </c>
      <c r="E95" s="11">
        <v>160</v>
      </c>
      <c r="F95" s="11">
        <v>280</v>
      </c>
      <c r="G95" s="12">
        <v>55</v>
      </c>
      <c r="H95" s="36" t="s">
        <v>59</v>
      </c>
      <c r="I95" s="23" t="s">
        <v>201</v>
      </c>
      <c r="K95" s="11" t="s">
        <v>60</v>
      </c>
      <c r="L95" s="11" t="s">
        <v>44</v>
      </c>
      <c r="M95" s="2" t="s">
        <v>202</v>
      </c>
      <c r="N95" s="2" t="s">
        <v>130</v>
      </c>
      <c r="O95" s="2" t="s">
        <v>203</v>
      </c>
      <c r="R95" s="36" t="s">
        <v>45</v>
      </c>
      <c r="S95" s="16" t="s">
        <v>204</v>
      </c>
      <c r="V95" s="48" t="s">
        <v>200</v>
      </c>
    </row>
    <row r="96" s="2" customFormat="1" ht="15.75" spans="2:22">
      <c r="B96" s="9">
        <v>95</v>
      </c>
      <c r="C96" s="2">
        <v>95</v>
      </c>
      <c r="D96" s="10" t="s">
        <v>198</v>
      </c>
      <c r="E96" s="11">
        <v>240</v>
      </c>
      <c r="F96" s="11">
        <v>340</v>
      </c>
      <c r="G96" s="12">
        <v>55</v>
      </c>
      <c r="H96" s="36" t="s">
        <v>59</v>
      </c>
      <c r="I96" s="23" t="s">
        <v>205</v>
      </c>
      <c r="K96" s="11" t="s">
        <v>60</v>
      </c>
      <c r="L96" s="11" t="s">
        <v>44</v>
      </c>
      <c r="M96" s="2" t="s">
        <v>206</v>
      </c>
      <c r="N96" s="2" t="s">
        <v>207</v>
      </c>
      <c r="O96" s="2" t="s">
        <v>208</v>
      </c>
      <c r="R96" s="36" t="s">
        <v>45</v>
      </c>
      <c r="S96" s="16" t="s">
        <v>209</v>
      </c>
      <c r="V96" s="48" t="s">
        <v>200</v>
      </c>
    </row>
    <row r="97" s="2" customFormat="1" ht="15.75" spans="2:22">
      <c r="B97" s="9">
        <v>96</v>
      </c>
      <c r="C97" s="2">
        <v>96</v>
      </c>
      <c r="D97" s="10" t="s">
        <v>198</v>
      </c>
      <c r="E97" s="11">
        <v>290</v>
      </c>
      <c r="F97" s="11">
        <v>280</v>
      </c>
      <c r="G97" s="12">
        <v>1.5</v>
      </c>
      <c r="H97" s="36">
        <v>1</v>
      </c>
      <c r="I97" s="23">
        <v>7.8</v>
      </c>
      <c r="K97" s="11" t="s">
        <v>60</v>
      </c>
      <c r="L97" s="11">
        <v>1</v>
      </c>
      <c r="M97" s="2">
        <v>190</v>
      </c>
      <c r="R97" s="36" t="s">
        <v>17</v>
      </c>
      <c r="S97" s="16" t="s">
        <v>210</v>
      </c>
      <c r="V97" s="48" t="s">
        <v>200</v>
      </c>
    </row>
    <row r="98" s="3" customFormat="1" ht="26" customHeight="1" spans="1:26">
      <c r="A98" s="2"/>
      <c r="B98" s="9">
        <v>97</v>
      </c>
      <c r="C98" s="2">
        <v>97</v>
      </c>
      <c r="D98" s="10" t="s">
        <v>198</v>
      </c>
      <c r="E98" s="11">
        <v>300</v>
      </c>
      <c r="F98" s="11">
        <v>330</v>
      </c>
      <c r="G98" s="12">
        <v>1.5</v>
      </c>
      <c r="H98" s="36" t="s">
        <v>59</v>
      </c>
      <c r="I98" s="23" t="s">
        <v>201</v>
      </c>
      <c r="J98" s="2"/>
      <c r="K98" s="11" t="s">
        <v>60</v>
      </c>
      <c r="L98" s="11" t="s">
        <v>44</v>
      </c>
      <c r="M98" s="2" t="s">
        <v>202</v>
      </c>
      <c r="N98" s="2" t="s">
        <v>130</v>
      </c>
      <c r="O98" s="2" t="s">
        <v>203</v>
      </c>
      <c r="P98" s="2"/>
      <c r="Q98" s="2"/>
      <c r="R98" s="36" t="s">
        <v>119</v>
      </c>
      <c r="S98" s="16" t="s">
        <v>211</v>
      </c>
      <c r="T98" s="2"/>
      <c r="U98" s="2"/>
      <c r="V98" s="48" t="s">
        <v>200</v>
      </c>
      <c r="X98" s="2"/>
      <c r="Y98" s="2"/>
      <c r="Z98" s="2"/>
    </row>
    <row r="99" s="2" customFormat="1" ht="15.75" spans="2:22">
      <c r="B99" s="9">
        <v>98</v>
      </c>
      <c r="C99" s="2">
        <v>98</v>
      </c>
      <c r="D99" s="10" t="s">
        <v>198</v>
      </c>
      <c r="E99" s="11">
        <v>285</v>
      </c>
      <c r="F99" s="11">
        <v>280</v>
      </c>
      <c r="G99" s="12">
        <v>1.5</v>
      </c>
      <c r="H99" s="36" t="s">
        <v>59</v>
      </c>
      <c r="I99" s="23" t="s">
        <v>205</v>
      </c>
      <c r="K99" s="11" t="s">
        <v>60</v>
      </c>
      <c r="L99" s="11" t="s">
        <v>44</v>
      </c>
      <c r="M99" s="2" t="s">
        <v>206</v>
      </c>
      <c r="N99" s="2" t="s">
        <v>207</v>
      </c>
      <c r="O99" s="2" t="s">
        <v>208</v>
      </c>
      <c r="R99" s="36" t="s">
        <v>119</v>
      </c>
      <c r="S99" s="16" t="s">
        <v>212</v>
      </c>
      <c r="V99" s="37" t="s">
        <v>200</v>
      </c>
    </row>
    <row r="100" s="2" customFormat="1" ht="15.75" spans="2:22">
      <c r="B100" s="9">
        <v>99</v>
      </c>
      <c r="C100" s="2">
        <v>99</v>
      </c>
      <c r="D100" s="10" t="s">
        <v>213</v>
      </c>
      <c r="E100" s="11">
        <v>124</v>
      </c>
      <c r="F100" s="11">
        <v>204</v>
      </c>
      <c r="G100" s="12">
        <v>41</v>
      </c>
      <c r="H100" s="44">
        <v>1</v>
      </c>
      <c r="I100" s="23"/>
      <c r="K100" s="11" t="s">
        <v>34</v>
      </c>
      <c r="L100" s="11">
        <v>1</v>
      </c>
      <c r="R100" s="36" t="s">
        <v>56</v>
      </c>
      <c r="S100" s="11"/>
      <c r="V100" s="49" t="s">
        <v>214</v>
      </c>
    </row>
    <row r="101" s="2" customFormat="1" ht="15.75" spans="2:22">
      <c r="B101" s="9">
        <v>100</v>
      </c>
      <c r="C101" s="2">
        <v>100</v>
      </c>
      <c r="D101" s="10" t="s">
        <v>213</v>
      </c>
      <c r="E101" s="11">
        <v>148</v>
      </c>
      <c r="F101" s="11">
        <v>223</v>
      </c>
      <c r="G101" s="12">
        <v>138</v>
      </c>
      <c r="H101" s="11">
        <v>0</v>
      </c>
      <c r="I101" s="23"/>
      <c r="K101" s="11">
        <v>0</v>
      </c>
      <c r="L101" s="11">
        <v>0</v>
      </c>
      <c r="R101" s="36" t="s">
        <v>35</v>
      </c>
      <c r="S101" s="16" t="s">
        <v>38</v>
      </c>
      <c r="V101" s="49" t="s">
        <v>214</v>
      </c>
    </row>
    <row r="102" s="2" customFormat="1" ht="15.75" spans="2:22">
      <c r="B102" s="9">
        <v>101</v>
      </c>
      <c r="C102" s="2">
        <v>101</v>
      </c>
      <c r="D102" s="10" t="s">
        <v>213</v>
      </c>
      <c r="E102" s="11">
        <v>194</v>
      </c>
      <c r="F102" s="11">
        <v>329</v>
      </c>
      <c r="G102" s="12">
        <v>138</v>
      </c>
      <c r="H102" s="36" t="s">
        <v>59</v>
      </c>
      <c r="I102" s="23"/>
      <c r="K102" s="11" t="s">
        <v>215</v>
      </c>
      <c r="L102" s="11" t="s">
        <v>44</v>
      </c>
      <c r="N102" s="2" t="s">
        <v>216</v>
      </c>
      <c r="O102" s="2" t="s">
        <v>217</v>
      </c>
      <c r="R102" s="36" t="s">
        <v>45</v>
      </c>
      <c r="S102" s="16" t="s">
        <v>218</v>
      </c>
      <c r="V102" s="49" t="s">
        <v>214</v>
      </c>
    </row>
    <row r="103" s="2" customFormat="1" ht="15.75" spans="2:22">
      <c r="B103" s="9">
        <v>102</v>
      </c>
      <c r="C103" s="2">
        <v>102</v>
      </c>
      <c r="D103" s="10" t="s">
        <v>219</v>
      </c>
      <c r="E103" s="11">
        <v>142</v>
      </c>
      <c r="F103" s="11">
        <v>224</v>
      </c>
      <c r="G103" s="12">
        <v>40</v>
      </c>
      <c r="H103" s="44">
        <v>1</v>
      </c>
      <c r="I103" s="23"/>
      <c r="K103" s="11" t="s">
        <v>34</v>
      </c>
      <c r="L103" s="11">
        <v>1</v>
      </c>
      <c r="R103" s="36" t="s">
        <v>56</v>
      </c>
      <c r="S103" s="11"/>
      <c r="V103" s="49" t="s">
        <v>214</v>
      </c>
    </row>
    <row r="104" s="2" customFormat="1" ht="15.75" spans="2:22">
      <c r="B104" s="9">
        <v>103</v>
      </c>
      <c r="C104" s="2">
        <v>103</v>
      </c>
      <c r="D104" s="10" t="s">
        <v>219</v>
      </c>
      <c r="E104" s="11">
        <v>166</v>
      </c>
      <c r="F104" s="11">
        <v>247</v>
      </c>
      <c r="G104" s="12">
        <v>110</v>
      </c>
      <c r="H104" s="11" t="s">
        <v>23</v>
      </c>
      <c r="I104" s="23">
        <v>4</v>
      </c>
      <c r="K104" s="11" t="s">
        <v>215</v>
      </c>
      <c r="L104" s="11" t="s">
        <v>26</v>
      </c>
      <c r="R104" s="36" t="s">
        <v>35</v>
      </c>
      <c r="S104" s="43" t="s">
        <v>38</v>
      </c>
      <c r="V104" s="49" t="s">
        <v>214</v>
      </c>
    </row>
    <row r="105" s="2" customFormat="1" ht="15.75" spans="2:22">
      <c r="B105" s="9">
        <v>104</v>
      </c>
      <c r="C105" s="2">
        <v>104</v>
      </c>
      <c r="D105" s="10" t="s">
        <v>219</v>
      </c>
      <c r="E105" s="11">
        <v>201</v>
      </c>
      <c r="F105" s="11">
        <v>338</v>
      </c>
      <c r="G105" s="12">
        <v>110</v>
      </c>
      <c r="H105" s="36" t="s">
        <v>59</v>
      </c>
      <c r="I105" s="23"/>
      <c r="K105" s="11" t="s">
        <v>215</v>
      </c>
      <c r="L105" s="11" t="s">
        <v>44</v>
      </c>
      <c r="N105" s="2" t="s">
        <v>220</v>
      </c>
      <c r="O105" s="2" t="s">
        <v>221</v>
      </c>
      <c r="R105" s="36" t="s">
        <v>45</v>
      </c>
      <c r="S105" s="43" t="s">
        <v>222</v>
      </c>
      <c r="V105" s="49" t="s">
        <v>214</v>
      </c>
    </row>
    <row r="106" s="2" customFormat="1" ht="15.75" spans="2:22">
      <c r="B106" s="9">
        <v>105</v>
      </c>
      <c r="C106" s="2">
        <v>105</v>
      </c>
      <c r="D106" s="10" t="s">
        <v>223</v>
      </c>
      <c r="E106" s="11">
        <v>134</v>
      </c>
      <c r="F106" s="11">
        <v>216</v>
      </c>
      <c r="G106" s="12">
        <v>39</v>
      </c>
      <c r="H106" s="44">
        <v>1</v>
      </c>
      <c r="I106" s="23"/>
      <c r="K106" s="11" t="s">
        <v>34</v>
      </c>
      <c r="L106" s="11">
        <v>1</v>
      </c>
      <c r="R106" s="36" t="s">
        <v>56</v>
      </c>
      <c r="S106" s="11"/>
      <c r="V106" s="49" t="s">
        <v>214</v>
      </c>
    </row>
    <row r="107" s="2" customFormat="1" ht="15.75" spans="2:22">
      <c r="B107" s="9">
        <v>106</v>
      </c>
      <c r="C107" s="2">
        <v>106</v>
      </c>
      <c r="D107" s="10" t="s">
        <v>223</v>
      </c>
      <c r="E107" s="11">
        <v>168</v>
      </c>
      <c r="F107" s="11">
        <v>263</v>
      </c>
      <c r="G107" s="12">
        <v>95</v>
      </c>
      <c r="H107" s="11" t="s">
        <v>23</v>
      </c>
      <c r="I107" s="23">
        <v>16</v>
      </c>
      <c r="K107" s="36" t="s">
        <v>34</v>
      </c>
      <c r="L107" s="11" t="s">
        <v>26</v>
      </c>
      <c r="R107" s="36" t="s">
        <v>35</v>
      </c>
      <c r="S107" s="43" t="s">
        <v>38</v>
      </c>
      <c r="V107" s="49" t="s">
        <v>214</v>
      </c>
    </row>
    <row r="108" s="2" customFormat="1" ht="15.75" spans="2:22">
      <c r="B108" s="9">
        <v>107</v>
      </c>
      <c r="C108" s="2">
        <v>107</v>
      </c>
      <c r="D108" s="10" t="s">
        <v>223</v>
      </c>
      <c r="E108" s="11">
        <v>190</v>
      </c>
      <c r="F108" s="11">
        <v>322</v>
      </c>
      <c r="G108" s="12">
        <v>95</v>
      </c>
      <c r="H108" s="36" t="s">
        <v>59</v>
      </c>
      <c r="I108" s="23"/>
      <c r="K108" s="11" t="s">
        <v>215</v>
      </c>
      <c r="L108" s="11" t="s">
        <v>44</v>
      </c>
      <c r="N108" s="2" t="s">
        <v>224</v>
      </c>
      <c r="O108" s="2" t="s">
        <v>225</v>
      </c>
      <c r="R108" s="36" t="s">
        <v>45</v>
      </c>
      <c r="S108" s="43" t="s">
        <v>226</v>
      </c>
      <c r="V108" s="49" t="s">
        <v>214</v>
      </c>
    </row>
    <row r="109" s="2" customFormat="1" ht="15.75" spans="2:22">
      <c r="B109" s="9">
        <v>108</v>
      </c>
      <c r="C109" s="2">
        <v>108</v>
      </c>
      <c r="D109" s="10" t="s">
        <v>227</v>
      </c>
      <c r="E109" s="11">
        <v>126</v>
      </c>
      <c r="F109" s="11">
        <v>207</v>
      </c>
      <c r="G109" s="12">
        <v>38</v>
      </c>
      <c r="H109" s="44">
        <v>1</v>
      </c>
      <c r="I109" s="23"/>
      <c r="K109" s="11" t="s">
        <v>34</v>
      </c>
      <c r="L109" s="11">
        <v>1</v>
      </c>
      <c r="R109" s="36" t="s">
        <v>56</v>
      </c>
      <c r="S109" s="11"/>
      <c r="V109" s="49" t="s">
        <v>214</v>
      </c>
    </row>
    <row r="110" s="2" customFormat="1" ht="15.75" spans="2:22">
      <c r="B110" s="9">
        <v>109</v>
      </c>
      <c r="C110" s="2">
        <v>109</v>
      </c>
      <c r="D110" s="10" t="s">
        <v>227</v>
      </c>
      <c r="E110" s="11">
        <v>157</v>
      </c>
      <c r="F110" s="11">
        <v>242</v>
      </c>
      <c r="G110" s="12">
        <v>45</v>
      </c>
      <c r="H110" s="11" t="s">
        <v>23</v>
      </c>
      <c r="I110" s="23">
        <v>32</v>
      </c>
      <c r="K110" s="36" t="s">
        <v>34</v>
      </c>
      <c r="L110" s="11" t="s">
        <v>26</v>
      </c>
      <c r="R110" s="36" t="s">
        <v>35</v>
      </c>
      <c r="S110" s="43" t="s">
        <v>38</v>
      </c>
      <c r="V110" s="49" t="s">
        <v>214</v>
      </c>
    </row>
    <row r="111" s="2" customFormat="1" ht="15.75" spans="2:22">
      <c r="B111" s="9">
        <v>110</v>
      </c>
      <c r="C111" s="2">
        <v>110</v>
      </c>
      <c r="D111" s="10" t="s">
        <v>227</v>
      </c>
      <c r="E111" s="11">
        <v>169</v>
      </c>
      <c r="F111" s="11">
        <v>274</v>
      </c>
      <c r="G111" s="12">
        <v>45</v>
      </c>
      <c r="H111" s="36" t="s">
        <v>59</v>
      </c>
      <c r="I111" s="23"/>
      <c r="K111" s="11" t="s">
        <v>215</v>
      </c>
      <c r="L111" s="11" t="s">
        <v>44</v>
      </c>
      <c r="N111" s="2" t="s">
        <v>228</v>
      </c>
      <c r="O111" s="2" t="s">
        <v>229</v>
      </c>
      <c r="R111" s="36" t="s">
        <v>45</v>
      </c>
      <c r="S111" s="43" t="s">
        <v>230</v>
      </c>
      <c r="V111" s="49" t="s">
        <v>214</v>
      </c>
    </row>
    <row r="112" s="2" customFormat="1" ht="15.75" spans="2:22">
      <c r="B112" s="9">
        <v>111</v>
      </c>
      <c r="C112" s="2">
        <v>111</v>
      </c>
      <c r="D112" s="10" t="s">
        <v>231</v>
      </c>
      <c r="E112" s="11">
        <v>101</v>
      </c>
      <c r="F112" s="11">
        <v>210</v>
      </c>
      <c r="G112" s="12">
        <v>50</v>
      </c>
      <c r="H112" s="11">
        <v>0</v>
      </c>
      <c r="I112" s="23"/>
      <c r="K112" s="11">
        <v>0</v>
      </c>
      <c r="L112" s="11">
        <v>0</v>
      </c>
      <c r="R112" s="11" t="s">
        <v>56</v>
      </c>
      <c r="S112" s="11"/>
      <c r="V112" s="37" t="s">
        <v>232</v>
      </c>
    </row>
    <row r="113" s="2" customFormat="1" ht="15.75" spans="2:22">
      <c r="B113" s="9">
        <v>112</v>
      </c>
      <c r="C113" s="2">
        <v>112</v>
      </c>
      <c r="D113" s="10" t="s">
        <v>231</v>
      </c>
      <c r="E113" s="11">
        <v>91</v>
      </c>
      <c r="F113" s="11">
        <v>203</v>
      </c>
      <c r="G113" s="12">
        <v>50</v>
      </c>
      <c r="H113" s="11">
        <v>0</v>
      </c>
      <c r="I113" s="23"/>
      <c r="K113" s="11">
        <v>0</v>
      </c>
      <c r="L113" s="11">
        <v>0</v>
      </c>
      <c r="R113" s="36" t="s">
        <v>35</v>
      </c>
      <c r="S113" s="11" t="s">
        <v>233</v>
      </c>
      <c r="V113" s="37" t="s">
        <v>232</v>
      </c>
    </row>
    <row r="114" s="2" customFormat="1" ht="15.75" spans="2:22">
      <c r="B114" s="9">
        <v>114</v>
      </c>
      <c r="C114" s="2">
        <v>113</v>
      </c>
      <c r="D114" s="10" t="s">
        <v>234</v>
      </c>
      <c r="E114" s="11">
        <v>128</v>
      </c>
      <c r="F114" s="11">
        <v>222</v>
      </c>
      <c r="G114" s="12">
        <v>34</v>
      </c>
      <c r="H114" s="11">
        <v>1</v>
      </c>
      <c r="I114" s="23"/>
      <c r="J114" s="2" t="s">
        <v>235</v>
      </c>
      <c r="K114" s="11" t="s">
        <v>34</v>
      </c>
      <c r="L114" s="11">
        <v>1</v>
      </c>
      <c r="R114" s="11" t="s">
        <v>56</v>
      </c>
      <c r="S114" s="11"/>
      <c r="V114" s="37" t="s">
        <v>232</v>
      </c>
    </row>
    <row r="115" s="2" customFormat="1" ht="15.75" spans="2:22">
      <c r="B115" s="9">
        <v>115</v>
      </c>
      <c r="C115" s="2">
        <v>114</v>
      </c>
      <c r="D115" s="10" t="s">
        <v>234</v>
      </c>
      <c r="E115" s="11">
        <v>116</v>
      </c>
      <c r="F115" s="11">
        <v>224</v>
      </c>
      <c r="G115" s="12">
        <v>50</v>
      </c>
      <c r="H115" s="11">
        <v>0</v>
      </c>
      <c r="I115" s="23"/>
      <c r="K115" s="11">
        <v>0</v>
      </c>
      <c r="L115" s="11">
        <v>0</v>
      </c>
      <c r="N115" s="2">
        <v>171</v>
      </c>
      <c r="O115" s="2">
        <v>53</v>
      </c>
      <c r="R115" s="36" t="s">
        <v>35</v>
      </c>
      <c r="S115" s="11" t="s">
        <v>233</v>
      </c>
      <c r="V115" s="37" t="s">
        <v>232</v>
      </c>
    </row>
    <row r="116" s="2" customFormat="1" ht="15.75" spans="2:22">
      <c r="B116" s="9">
        <v>116</v>
      </c>
      <c r="C116" s="2">
        <v>115</v>
      </c>
      <c r="D116" s="10" t="s">
        <v>234</v>
      </c>
      <c r="E116" s="11">
        <v>198</v>
      </c>
      <c r="F116" s="11">
        <v>331</v>
      </c>
      <c r="G116" s="12">
        <v>39.1</v>
      </c>
      <c r="H116" s="11" t="s">
        <v>77</v>
      </c>
      <c r="I116" s="23"/>
      <c r="J116" s="2" t="s">
        <v>236</v>
      </c>
      <c r="K116" s="11" t="s">
        <v>237</v>
      </c>
      <c r="L116" s="11" t="s">
        <v>78</v>
      </c>
      <c r="R116" s="36" t="s">
        <v>45</v>
      </c>
      <c r="S116" s="11" t="s">
        <v>238</v>
      </c>
      <c r="V116" s="37" t="s">
        <v>232</v>
      </c>
    </row>
    <row r="117" s="2" customFormat="1" ht="15.75" spans="2:22">
      <c r="B117" s="9">
        <v>117</v>
      </c>
      <c r="C117" s="2">
        <v>116</v>
      </c>
      <c r="D117" s="10" t="s">
        <v>239</v>
      </c>
      <c r="E117" s="11">
        <v>130</v>
      </c>
      <c r="F117" s="11">
        <v>220</v>
      </c>
      <c r="G117" s="12">
        <v>38</v>
      </c>
      <c r="H117" s="11">
        <v>1</v>
      </c>
      <c r="I117" s="23"/>
      <c r="J117" s="2" t="s">
        <v>235</v>
      </c>
      <c r="K117" s="11" t="s">
        <v>34</v>
      </c>
      <c r="L117" s="11">
        <v>1</v>
      </c>
      <c r="R117" s="11" t="s">
        <v>56</v>
      </c>
      <c r="S117" s="11"/>
      <c r="V117" s="37" t="s">
        <v>232</v>
      </c>
    </row>
    <row r="118" s="2" customFormat="1" ht="15.75" spans="2:22">
      <c r="B118" s="9">
        <v>118</v>
      </c>
      <c r="C118" s="2">
        <v>117</v>
      </c>
      <c r="D118" s="10" t="s">
        <v>239</v>
      </c>
      <c r="E118" s="11">
        <v>125</v>
      </c>
      <c r="F118" s="11">
        <v>237</v>
      </c>
      <c r="G118" s="12">
        <v>50</v>
      </c>
      <c r="H118" s="11">
        <v>0</v>
      </c>
      <c r="I118" s="23"/>
      <c r="K118" s="11">
        <v>0</v>
      </c>
      <c r="L118" s="11">
        <v>0</v>
      </c>
      <c r="R118" s="36" t="s">
        <v>35</v>
      </c>
      <c r="S118" s="11" t="s">
        <v>233</v>
      </c>
      <c r="V118" s="37" t="s">
        <v>232</v>
      </c>
    </row>
    <row r="119" s="2" customFormat="1" ht="15.75" spans="2:22">
      <c r="B119" s="9">
        <v>119</v>
      </c>
      <c r="C119" s="2">
        <v>118</v>
      </c>
      <c r="D119" s="10" t="s">
        <v>239</v>
      </c>
      <c r="E119" s="11">
        <v>222</v>
      </c>
      <c r="F119" s="11">
        <v>362</v>
      </c>
      <c r="G119" s="12">
        <v>45.6</v>
      </c>
      <c r="H119" s="11" t="s">
        <v>77</v>
      </c>
      <c r="I119" s="23"/>
      <c r="J119" s="2" t="s">
        <v>236</v>
      </c>
      <c r="K119" s="11" t="s">
        <v>237</v>
      </c>
      <c r="L119" s="11" t="s">
        <v>78</v>
      </c>
      <c r="N119" s="2">
        <v>65</v>
      </c>
      <c r="O119" s="2">
        <v>18</v>
      </c>
      <c r="R119" s="36" t="s">
        <v>45</v>
      </c>
      <c r="S119" s="11" t="s">
        <v>238</v>
      </c>
      <c r="V119" s="37" t="s">
        <v>232</v>
      </c>
    </row>
    <row r="120" s="2" customFormat="1" ht="15.75" spans="2:22">
      <c r="B120" s="9">
        <v>120</v>
      </c>
      <c r="C120" s="2">
        <v>119</v>
      </c>
      <c r="D120" s="10" t="s">
        <v>240</v>
      </c>
      <c r="E120" s="11">
        <v>146</v>
      </c>
      <c r="F120" s="11">
        <v>230</v>
      </c>
      <c r="G120" s="12">
        <v>50</v>
      </c>
      <c r="H120" s="11">
        <v>1</v>
      </c>
      <c r="I120" s="23"/>
      <c r="J120" s="2" t="s">
        <v>235</v>
      </c>
      <c r="K120" s="11" t="s">
        <v>34</v>
      </c>
      <c r="L120" s="11">
        <v>1</v>
      </c>
      <c r="R120" s="11" t="s">
        <v>56</v>
      </c>
      <c r="S120" s="11"/>
      <c r="V120" s="37" t="s">
        <v>232</v>
      </c>
    </row>
    <row r="121" s="2" customFormat="1" ht="15.75" spans="2:22">
      <c r="B121" s="9">
        <v>121</v>
      </c>
      <c r="C121" s="2">
        <v>120</v>
      </c>
      <c r="D121" s="10" t="s">
        <v>240</v>
      </c>
      <c r="E121" s="11">
        <v>134</v>
      </c>
      <c r="F121" s="11">
        <v>263</v>
      </c>
      <c r="G121" s="12">
        <v>50</v>
      </c>
      <c r="H121" s="11">
        <v>0</v>
      </c>
      <c r="I121" s="23"/>
      <c r="K121" s="11">
        <v>0</v>
      </c>
      <c r="L121" s="11">
        <v>0</v>
      </c>
      <c r="R121" s="36" t="s">
        <v>35</v>
      </c>
      <c r="S121" s="11" t="s">
        <v>233</v>
      </c>
      <c r="V121" s="37" t="s">
        <v>232</v>
      </c>
    </row>
    <row r="122" s="2" customFormat="1" ht="15.75" spans="2:22">
      <c r="B122" s="9">
        <v>122</v>
      </c>
      <c r="C122" s="2">
        <v>121</v>
      </c>
      <c r="D122" s="10" t="s">
        <v>240</v>
      </c>
      <c r="E122" s="11">
        <v>238</v>
      </c>
      <c r="F122" s="11">
        <v>363</v>
      </c>
      <c r="G122" s="12">
        <v>50</v>
      </c>
      <c r="H122" s="11">
        <v>0</v>
      </c>
      <c r="I122" s="23"/>
      <c r="K122" s="11">
        <v>0</v>
      </c>
      <c r="L122" s="11">
        <v>0</v>
      </c>
      <c r="R122" s="36" t="s">
        <v>45</v>
      </c>
      <c r="S122" s="11" t="s">
        <v>238</v>
      </c>
      <c r="V122" s="37" t="s">
        <v>232</v>
      </c>
    </row>
    <row r="123" s="2" customFormat="1" ht="15.75" spans="2:22">
      <c r="B123" s="9">
        <v>123</v>
      </c>
      <c r="C123" s="2">
        <v>122</v>
      </c>
      <c r="D123" s="10" t="s">
        <v>241</v>
      </c>
      <c r="E123" s="11">
        <v>153</v>
      </c>
      <c r="F123" s="11">
        <v>215</v>
      </c>
      <c r="G123" s="12">
        <v>36</v>
      </c>
      <c r="H123" s="11">
        <v>1</v>
      </c>
      <c r="I123" s="23"/>
      <c r="J123" s="2" t="s">
        <v>235</v>
      </c>
      <c r="K123" s="11" t="s">
        <v>34</v>
      </c>
      <c r="L123" s="11">
        <v>1</v>
      </c>
      <c r="R123" s="11" t="s">
        <v>56</v>
      </c>
      <c r="S123" s="11"/>
      <c r="V123" s="37" t="s">
        <v>232</v>
      </c>
    </row>
    <row r="124" s="2" customFormat="1" ht="15.75" spans="2:22">
      <c r="B124" s="9">
        <v>124</v>
      </c>
      <c r="C124" s="2">
        <v>123</v>
      </c>
      <c r="D124" s="10" t="s">
        <v>241</v>
      </c>
      <c r="E124" s="11">
        <v>130</v>
      </c>
      <c r="F124" s="11">
        <v>235</v>
      </c>
      <c r="G124" s="12">
        <v>50</v>
      </c>
      <c r="H124" s="11">
        <v>0</v>
      </c>
      <c r="I124" s="23"/>
      <c r="K124" s="11">
        <v>0</v>
      </c>
      <c r="L124" s="11">
        <v>0</v>
      </c>
      <c r="R124" s="36" t="s">
        <v>35</v>
      </c>
      <c r="S124" s="11" t="s">
        <v>242</v>
      </c>
      <c r="V124" s="37" t="s">
        <v>232</v>
      </c>
    </row>
    <row r="125" s="2" customFormat="1" ht="15.75" spans="2:22">
      <c r="B125" s="9">
        <v>125</v>
      </c>
      <c r="C125" s="2">
        <v>124</v>
      </c>
      <c r="D125" s="10" t="s">
        <v>241</v>
      </c>
      <c r="E125" s="11">
        <v>239</v>
      </c>
      <c r="F125" s="11">
        <v>362</v>
      </c>
      <c r="G125" s="12">
        <v>43</v>
      </c>
      <c r="H125" s="11">
        <v>0</v>
      </c>
      <c r="I125" s="23"/>
      <c r="K125" s="11">
        <v>0</v>
      </c>
      <c r="L125" s="11">
        <v>0</v>
      </c>
      <c r="R125" s="36" t="s">
        <v>45</v>
      </c>
      <c r="S125" s="11" t="s">
        <v>243</v>
      </c>
      <c r="V125" s="37" t="s">
        <v>232</v>
      </c>
    </row>
    <row r="126" s="2" customFormat="1" ht="15.75" spans="2:22">
      <c r="B126" s="9">
        <v>126</v>
      </c>
      <c r="C126" s="2">
        <v>125</v>
      </c>
      <c r="D126" s="10" t="s">
        <v>244</v>
      </c>
      <c r="E126" s="11">
        <v>159</v>
      </c>
      <c r="F126" s="11">
        <v>235</v>
      </c>
      <c r="G126" s="12">
        <v>37</v>
      </c>
      <c r="H126" s="11">
        <v>1</v>
      </c>
      <c r="I126" s="23"/>
      <c r="J126" s="2" t="s">
        <v>235</v>
      </c>
      <c r="K126" s="11" t="s">
        <v>34</v>
      </c>
      <c r="L126" s="11">
        <v>1</v>
      </c>
      <c r="R126" s="11" t="s">
        <v>56</v>
      </c>
      <c r="S126" s="11"/>
      <c r="V126" s="37" t="s">
        <v>232</v>
      </c>
    </row>
    <row r="127" s="2" customFormat="1" ht="15.75" spans="2:22">
      <c r="B127" s="9">
        <v>127</v>
      </c>
      <c r="C127" s="2">
        <v>126</v>
      </c>
      <c r="D127" s="10" t="s">
        <v>244</v>
      </c>
      <c r="E127" s="11">
        <v>133</v>
      </c>
      <c r="F127" s="11">
        <v>252</v>
      </c>
      <c r="G127" s="12">
        <v>50</v>
      </c>
      <c r="H127" s="11">
        <v>0</v>
      </c>
      <c r="I127" s="23"/>
      <c r="K127" s="11">
        <v>0</v>
      </c>
      <c r="L127" s="11">
        <v>0</v>
      </c>
      <c r="R127" s="36" t="s">
        <v>35</v>
      </c>
      <c r="S127" s="11" t="s">
        <v>233</v>
      </c>
      <c r="V127" s="37" t="s">
        <v>232</v>
      </c>
    </row>
    <row r="128" s="2" customFormat="1" ht="15.75" spans="2:22">
      <c r="B128" s="9">
        <v>128</v>
      </c>
      <c r="C128" s="2">
        <v>127</v>
      </c>
      <c r="D128" s="10" t="s">
        <v>244</v>
      </c>
      <c r="E128" s="11">
        <v>241</v>
      </c>
      <c r="F128" s="11">
        <v>370</v>
      </c>
      <c r="G128" s="12">
        <v>38</v>
      </c>
      <c r="H128" s="11" t="s">
        <v>245</v>
      </c>
      <c r="I128" s="23"/>
      <c r="J128" s="2" t="s">
        <v>246</v>
      </c>
      <c r="K128" s="36" t="s">
        <v>25</v>
      </c>
      <c r="L128" s="11" t="s">
        <v>78</v>
      </c>
      <c r="N128" s="2">
        <v>23</v>
      </c>
      <c r="O128" s="2">
        <v>10</v>
      </c>
      <c r="R128" s="36" t="s">
        <v>45</v>
      </c>
      <c r="S128" s="11" t="s">
        <v>238</v>
      </c>
      <c r="V128" s="37" t="s">
        <v>232</v>
      </c>
    </row>
    <row r="129" s="2" customFormat="1" ht="15.75" spans="2:22">
      <c r="B129" s="9">
        <v>129</v>
      </c>
      <c r="C129" s="2">
        <v>128</v>
      </c>
      <c r="D129" s="10" t="s">
        <v>247</v>
      </c>
      <c r="E129" s="11">
        <v>158</v>
      </c>
      <c r="F129" s="11">
        <v>217</v>
      </c>
      <c r="G129" s="12">
        <v>35</v>
      </c>
      <c r="H129" s="11" t="s">
        <v>77</v>
      </c>
      <c r="I129" s="23"/>
      <c r="J129" s="2" t="s">
        <v>235</v>
      </c>
      <c r="K129" s="11" t="s">
        <v>34</v>
      </c>
      <c r="L129" s="11" t="s">
        <v>78</v>
      </c>
      <c r="R129" s="11" t="s">
        <v>56</v>
      </c>
      <c r="S129" s="11"/>
      <c r="V129" s="37" t="s">
        <v>232</v>
      </c>
    </row>
    <row r="130" s="2" customFormat="1" ht="15.75" spans="2:22">
      <c r="B130" s="9">
        <v>130</v>
      </c>
      <c r="C130" s="2">
        <v>129</v>
      </c>
      <c r="D130" s="10" t="s">
        <v>247</v>
      </c>
      <c r="E130" s="11">
        <v>136</v>
      </c>
      <c r="F130" s="11">
        <v>257</v>
      </c>
      <c r="G130" s="12">
        <v>50</v>
      </c>
      <c r="H130" s="11">
        <v>0</v>
      </c>
      <c r="I130" s="23"/>
      <c r="K130" s="11">
        <v>0</v>
      </c>
      <c r="L130" s="11">
        <v>0</v>
      </c>
      <c r="R130" s="36" t="s">
        <v>35</v>
      </c>
      <c r="S130" s="11" t="s">
        <v>233</v>
      </c>
      <c r="V130" s="37" t="s">
        <v>232</v>
      </c>
    </row>
    <row r="131" s="2" customFormat="1" ht="15.75" spans="2:22">
      <c r="B131" s="9">
        <v>131</v>
      </c>
      <c r="C131" s="2">
        <v>130</v>
      </c>
      <c r="D131" s="10" t="s">
        <v>247</v>
      </c>
      <c r="E131" s="11">
        <v>243</v>
      </c>
      <c r="F131" s="11">
        <v>360</v>
      </c>
      <c r="G131" s="12">
        <v>38</v>
      </c>
      <c r="H131" s="11">
        <v>0</v>
      </c>
      <c r="I131" s="23"/>
      <c r="K131" s="11">
        <v>0</v>
      </c>
      <c r="L131" s="11">
        <v>0</v>
      </c>
      <c r="R131" s="36" t="s">
        <v>45</v>
      </c>
      <c r="S131" s="11" t="s">
        <v>238</v>
      </c>
      <c r="V131" s="37" t="s">
        <v>232</v>
      </c>
    </row>
    <row r="132" s="2" customFormat="1" ht="15.75" spans="2:22">
      <c r="B132" s="9">
        <v>132</v>
      </c>
      <c r="C132" s="2">
        <v>131</v>
      </c>
      <c r="D132" s="10" t="s">
        <v>248</v>
      </c>
      <c r="E132" s="11">
        <v>168</v>
      </c>
      <c r="F132" s="11">
        <v>233</v>
      </c>
      <c r="G132" s="12">
        <v>51</v>
      </c>
      <c r="H132" s="11">
        <v>1</v>
      </c>
      <c r="I132" s="23"/>
      <c r="J132" s="2" t="s">
        <v>235</v>
      </c>
      <c r="K132" s="11" t="s">
        <v>34</v>
      </c>
      <c r="L132" s="11">
        <v>1</v>
      </c>
      <c r="R132" s="11" t="s">
        <v>56</v>
      </c>
      <c r="S132" s="11"/>
      <c r="V132" s="37" t="s">
        <v>232</v>
      </c>
    </row>
    <row r="133" s="2" customFormat="1" ht="15.75" spans="2:22">
      <c r="B133" s="9">
        <v>133</v>
      </c>
      <c r="C133" s="2">
        <v>132</v>
      </c>
      <c r="D133" s="10" t="s">
        <v>248</v>
      </c>
      <c r="E133" s="11">
        <v>142</v>
      </c>
      <c r="F133" s="11">
        <v>259</v>
      </c>
      <c r="G133" s="12">
        <v>50</v>
      </c>
      <c r="H133" s="11">
        <v>0</v>
      </c>
      <c r="I133" s="23"/>
      <c r="K133" s="11">
        <v>0</v>
      </c>
      <c r="L133" s="11">
        <v>0</v>
      </c>
      <c r="R133" s="36" t="s">
        <v>35</v>
      </c>
      <c r="S133" s="11" t="s">
        <v>233</v>
      </c>
      <c r="V133" s="37" t="s">
        <v>232</v>
      </c>
    </row>
    <row r="134" s="2" customFormat="1" ht="15.75" spans="2:22">
      <c r="B134" s="9">
        <v>134</v>
      </c>
      <c r="C134" s="2">
        <v>133</v>
      </c>
      <c r="D134" s="10" t="s">
        <v>248</v>
      </c>
      <c r="E134" s="11">
        <v>248</v>
      </c>
      <c r="F134" s="11">
        <v>328</v>
      </c>
      <c r="G134" s="12">
        <v>54</v>
      </c>
      <c r="H134" s="11" t="s">
        <v>59</v>
      </c>
      <c r="I134" s="23"/>
      <c r="K134" s="36" t="s">
        <v>25</v>
      </c>
      <c r="L134" s="11" t="s">
        <v>44</v>
      </c>
      <c r="R134" s="36" t="s">
        <v>45</v>
      </c>
      <c r="S134" s="11" t="s">
        <v>238</v>
      </c>
      <c r="V134" s="37" t="s">
        <v>232</v>
      </c>
    </row>
    <row r="135" s="2" customFormat="1" ht="15.75" spans="2:22">
      <c r="B135" s="9">
        <v>135</v>
      </c>
      <c r="C135" s="2">
        <v>134</v>
      </c>
      <c r="D135" s="10" t="s">
        <v>234</v>
      </c>
      <c r="E135" s="11">
        <v>175</v>
      </c>
      <c r="F135" s="11">
        <v>261</v>
      </c>
      <c r="G135" s="12">
        <v>3.8</v>
      </c>
      <c r="H135" s="11">
        <v>0</v>
      </c>
      <c r="I135" s="23"/>
      <c r="K135" s="11">
        <v>0</v>
      </c>
      <c r="L135" s="11">
        <v>0</v>
      </c>
      <c r="R135" s="36" t="s">
        <v>17</v>
      </c>
      <c r="S135" s="11" t="s">
        <v>249</v>
      </c>
      <c r="V135" s="37" t="s">
        <v>232</v>
      </c>
    </row>
    <row r="136" s="2" customFormat="1" ht="15.75" spans="2:22">
      <c r="B136" s="9">
        <v>136</v>
      </c>
      <c r="C136" s="2">
        <v>135</v>
      </c>
      <c r="D136" s="10" t="s">
        <v>234</v>
      </c>
      <c r="E136" s="11">
        <v>252</v>
      </c>
      <c r="F136" s="11">
        <v>366</v>
      </c>
      <c r="G136" s="12">
        <v>3.8</v>
      </c>
      <c r="H136" s="11" t="s">
        <v>59</v>
      </c>
      <c r="I136" s="23"/>
      <c r="K136" s="36" t="s">
        <v>25</v>
      </c>
      <c r="L136" s="11" t="s">
        <v>44</v>
      </c>
      <c r="R136" s="36" t="s">
        <v>119</v>
      </c>
      <c r="S136" s="11" t="s">
        <v>250</v>
      </c>
      <c r="V136" s="37" t="s">
        <v>232</v>
      </c>
    </row>
    <row r="137" s="2" customFormat="1" ht="15.75" spans="2:22">
      <c r="B137" s="9">
        <v>137</v>
      </c>
      <c r="C137" s="2">
        <v>136</v>
      </c>
      <c r="D137" s="10" t="s">
        <v>234</v>
      </c>
      <c r="E137" s="11">
        <v>264</v>
      </c>
      <c r="F137" s="11">
        <v>401</v>
      </c>
      <c r="G137" s="12">
        <v>3.8</v>
      </c>
      <c r="H137" s="11" t="s">
        <v>59</v>
      </c>
      <c r="I137" s="23"/>
      <c r="K137" s="36" t="s">
        <v>25</v>
      </c>
      <c r="L137" s="11" t="s">
        <v>44</v>
      </c>
      <c r="R137" s="36" t="s">
        <v>119</v>
      </c>
      <c r="S137" s="11" t="s">
        <v>251</v>
      </c>
      <c r="V137" s="37" t="s">
        <v>232</v>
      </c>
    </row>
    <row r="138" s="2" customFormat="1" ht="15.75" spans="2:22">
      <c r="B138" s="9">
        <v>138</v>
      </c>
      <c r="C138" s="2">
        <v>137</v>
      </c>
      <c r="D138" s="10" t="s">
        <v>234</v>
      </c>
      <c r="E138" s="11">
        <v>334</v>
      </c>
      <c r="F138" s="11">
        <v>381</v>
      </c>
      <c r="G138" s="12">
        <v>3.8</v>
      </c>
      <c r="H138" s="11" t="s">
        <v>59</v>
      </c>
      <c r="I138" s="23"/>
      <c r="K138" s="36" t="s">
        <v>25</v>
      </c>
      <c r="L138" s="11" t="s">
        <v>44</v>
      </c>
      <c r="R138" s="36" t="s">
        <v>119</v>
      </c>
      <c r="S138" s="11" t="s">
        <v>252</v>
      </c>
      <c r="V138" s="37" t="s">
        <v>232</v>
      </c>
    </row>
    <row r="139" s="2" customFormat="1" ht="15.75" spans="2:22">
      <c r="B139" s="9">
        <v>139</v>
      </c>
      <c r="C139" s="2">
        <v>138</v>
      </c>
      <c r="D139" s="10" t="s">
        <v>239</v>
      </c>
      <c r="E139" s="11">
        <v>186</v>
      </c>
      <c r="F139" s="11">
        <v>278</v>
      </c>
      <c r="G139" s="12">
        <v>3.5</v>
      </c>
      <c r="H139" s="11">
        <v>0</v>
      </c>
      <c r="I139" s="23"/>
      <c r="K139" s="11">
        <v>0</v>
      </c>
      <c r="L139" s="11">
        <v>0</v>
      </c>
      <c r="R139" s="11" t="s">
        <v>63</v>
      </c>
      <c r="S139" s="11" t="s">
        <v>249</v>
      </c>
      <c r="V139" s="37" t="s">
        <v>232</v>
      </c>
    </row>
    <row r="140" s="2" customFormat="1" ht="15.75" spans="2:22">
      <c r="B140" s="9">
        <v>140</v>
      </c>
      <c r="C140" s="2">
        <v>139</v>
      </c>
      <c r="D140" s="10" t="s">
        <v>239</v>
      </c>
      <c r="E140" s="11">
        <v>273</v>
      </c>
      <c r="F140" s="11">
        <v>406</v>
      </c>
      <c r="G140" s="12">
        <v>3.5</v>
      </c>
      <c r="H140" s="11" t="s">
        <v>59</v>
      </c>
      <c r="I140" s="23"/>
      <c r="K140" s="36" t="s">
        <v>25</v>
      </c>
      <c r="L140" s="36" t="s">
        <v>44</v>
      </c>
      <c r="R140" s="36" t="s">
        <v>119</v>
      </c>
      <c r="S140" s="11" t="s">
        <v>250</v>
      </c>
      <c r="V140" s="37" t="s">
        <v>232</v>
      </c>
    </row>
    <row r="141" s="2" customFormat="1" ht="15.75" spans="2:22">
      <c r="B141" s="9">
        <v>141</v>
      </c>
      <c r="C141" s="2">
        <v>140</v>
      </c>
      <c r="D141" s="10" t="s">
        <v>239</v>
      </c>
      <c r="E141" s="11">
        <v>297</v>
      </c>
      <c r="F141" s="11">
        <v>412</v>
      </c>
      <c r="G141" s="12">
        <v>3.5</v>
      </c>
      <c r="H141" s="11" t="s">
        <v>59</v>
      </c>
      <c r="I141" s="23"/>
      <c r="K141" s="36" t="s">
        <v>25</v>
      </c>
      <c r="L141" s="36" t="s">
        <v>44</v>
      </c>
      <c r="R141" s="36" t="s">
        <v>119</v>
      </c>
      <c r="S141" s="11" t="s">
        <v>253</v>
      </c>
      <c r="V141" s="37" t="s">
        <v>232</v>
      </c>
    </row>
    <row r="142" s="2" customFormat="1" ht="15.75" spans="2:22">
      <c r="B142" s="9">
        <v>142</v>
      </c>
      <c r="C142" s="2">
        <v>141</v>
      </c>
      <c r="D142" s="10" t="s">
        <v>239</v>
      </c>
      <c r="E142" s="11">
        <v>310</v>
      </c>
      <c r="F142" s="11">
        <v>413</v>
      </c>
      <c r="G142" s="12">
        <v>3.5</v>
      </c>
      <c r="H142" s="11" t="s">
        <v>59</v>
      </c>
      <c r="I142" s="23"/>
      <c r="J142" s="50"/>
      <c r="K142" s="36" t="s">
        <v>25</v>
      </c>
      <c r="L142" s="36" t="s">
        <v>44</v>
      </c>
      <c r="R142" s="36" t="s">
        <v>119</v>
      </c>
      <c r="S142" s="11" t="s">
        <v>254</v>
      </c>
      <c r="V142" s="37" t="s">
        <v>232</v>
      </c>
    </row>
    <row r="143" s="2" customFormat="1" ht="15.75" spans="2:22">
      <c r="B143" s="9">
        <v>143</v>
      </c>
      <c r="C143" s="2">
        <v>142</v>
      </c>
      <c r="D143" s="10" t="s">
        <v>239</v>
      </c>
      <c r="E143" s="11">
        <v>341</v>
      </c>
      <c r="F143" s="11">
        <v>421</v>
      </c>
      <c r="G143" s="12">
        <v>3.5</v>
      </c>
      <c r="H143" s="11" t="s">
        <v>59</v>
      </c>
      <c r="I143" s="23"/>
      <c r="K143" s="36" t="s">
        <v>25</v>
      </c>
      <c r="L143" s="36" t="s">
        <v>44</v>
      </c>
      <c r="R143" s="36" t="s">
        <v>119</v>
      </c>
      <c r="S143" s="11" t="s">
        <v>252</v>
      </c>
      <c r="V143" s="37" t="s">
        <v>232</v>
      </c>
    </row>
    <row r="144" s="2" customFormat="1" ht="15.75" spans="2:22">
      <c r="B144" s="9">
        <v>144</v>
      </c>
      <c r="C144" s="2">
        <v>143</v>
      </c>
      <c r="D144" s="10" t="s">
        <v>239</v>
      </c>
      <c r="E144" s="11">
        <v>359</v>
      </c>
      <c r="F144" s="11">
        <v>430</v>
      </c>
      <c r="G144" s="12">
        <v>3.5</v>
      </c>
      <c r="H144" s="11" t="s">
        <v>59</v>
      </c>
      <c r="I144" s="23"/>
      <c r="K144" s="36" t="s">
        <v>25</v>
      </c>
      <c r="L144" s="36" t="s">
        <v>44</v>
      </c>
      <c r="R144" s="36" t="s">
        <v>119</v>
      </c>
      <c r="S144" s="11" t="s">
        <v>255</v>
      </c>
      <c r="V144" s="37" t="s">
        <v>232</v>
      </c>
    </row>
    <row r="145" s="2" customFormat="1" ht="15.75" spans="2:22">
      <c r="B145" s="9">
        <v>145</v>
      </c>
      <c r="C145" s="2">
        <v>144</v>
      </c>
      <c r="D145" s="10" t="s">
        <v>241</v>
      </c>
      <c r="E145" s="11">
        <v>311</v>
      </c>
      <c r="F145" s="11">
        <v>403</v>
      </c>
      <c r="G145" s="12">
        <v>3.5</v>
      </c>
      <c r="H145" s="11" t="s">
        <v>59</v>
      </c>
      <c r="I145" s="23"/>
      <c r="K145" s="36" t="s">
        <v>25</v>
      </c>
      <c r="L145" s="36" t="s">
        <v>44</v>
      </c>
      <c r="R145" s="36" t="s">
        <v>119</v>
      </c>
      <c r="S145" s="11" t="s">
        <v>256</v>
      </c>
      <c r="V145" s="37" t="s">
        <v>232</v>
      </c>
    </row>
    <row r="146" s="2" customFormat="1" ht="15.75" spans="2:22">
      <c r="B146" s="9">
        <v>146</v>
      </c>
      <c r="C146" s="2">
        <v>145</v>
      </c>
      <c r="D146" s="10" t="s">
        <v>241</v>
      </c>
      <c r="E146" s="11">
        <v>331</v>
      </c>
      <c r="F146" s="11">
        <v>397</v>
      </c>
      <c r="G146" s="12">
        <v>3.5</v>
      </c>
      <c r="H146" s="11" t="s">
        <v>59</v>
      </c>
      <c r="I146" s="23"/>
      <c r="K146" s="36" t="s">
        <v>25</v>
      </c>
      <c r="L146" s="36" t="s">
        <v>44</v>
      </c>
      <c r="R146" s="36" t="s">
        <v>119</v>
      </c>
      <c r="S146" s="11" t="s">
        <v>257</v>
      </c>
      <c r="V146" s="37" t="s">
        <v>232</v>
      </c>
    </row>
    <row r="147" s="2" customFormat="1" ht="15.75" spans="2:22">
      <c r="B147" s="9">
        <v>147</v>
      </c>
      <c r="C147" s="2">
        <v>146</v>
      </c>
      <c r="D147" s="10" t="s">
        <v>244</v>
      </c>
      <c r="E147" s="11">
        <v>220</v>
      </c>
      <c r="F147" s="11">
        <v>309</v>
      </c>
      <c r="G147" s="12">
        <v>3.7</v>
      </c>
      <c r="H147" s="11">
        <v>0</v>
      </c>
      <c r="I147" s="23"/>
      <c r="K147" s="11">
        <v>0</v>
      </c>
      <c r="L147" s="11">
        <v>0</v>
      </c>
      <c r="R147" s="11" t="s">
        <v>63</v>
      </c>
      <c r="S147" s="11" t="s">
        <v>249</v>
      </c>
      <c r="V147" s="37" t="s">
        <v>232</v>
      </c>
    </row>
    <row r="148" s="2" customFormat="1" ht="15.75" spans="2:22">
      <c r="B148" s="9">
        <v>148</v>
      </c>
      <c r="C148" s="2">
        <v>147</v>
      </c>
      <c r="D148" s="10" t="s">
        <v>244</v>
      </c>
      <c r="E148" s="11">
        <v>252</v>
      </c>
      <c r="F148" s="11">
        <v>324</v>
      </c>
      <c r="G148" s="12">
        <v>3.7</v>
      </c>
      <c r="H148" s="36" t="s">
        <v>59</v>
      </c>
      <c r="I148" s="23"/>
      <c r="K148" s="36" t="s">
        <v>25</v>
      </c>
      <c r="L148" s="36" t="s">
        <v>44</v>
      </c>
      <c r="R148" s="36" t="s">
        <v>119</v>
      </c>
      <c r="S148" s="11" t="s">
        <v>258</v>
      </c>
      <c r="V148" s="37" t="s">
        <v>232</v>
      </c>
    </row>
    <row r="149" s="2" customFormat="1" ht="15.75" spans="2:22">
      <c r="B149" s="9">
        <v>149</v>
      </c>
      <c r="C149" s="2">
        <v>148</v>
      </c>
      <c r="D149" s="10" t="s">
        <v>244</v>
      </c>
      <c r="E149" s="11">
        <v>314</v>
      </c>
      <c r="F149" s="11">
        <v>422</v>
      </c>
      <c r="G149" s="12">
        <v>3.7</v>
      </c>
      <c r="H149" s="36" t="s">
        <v>59</v>
      </c>
      <c r="I149" s="23"/>
      <c r="K149" s="36" t="s">
        <v>25</v>
      </c>
      <c r="L149" s="36" t="s">
        <v>44</v>
      </c>
      <c r="R149" s="36" t="s">
        <v>119</v>
      </c>
      <c r="S149" s="11" t="s">
        <v>250</v>
      </c>
      <c r="V149" s="37" t="s">
        <v>232</v>
      </c>
    </row>
    <row r="150" s="2" customFormat="1" ht="15.75" spans="2:22">
      <c r="B150" s="9">
        <v>150</v>
      </c>
      <c r="C150" s="2">
        <v>149</v>
      </c>
      <c r="D150" s="10" t="s">
        <v>244</v>
      </c>
      <c r="E150" s="11">
        <v>321</v>
      </c>
      <c r="F150" s="11">
        <v>439</v>
      </c>
      <c r="G150" s="12">
        <v>3.7</v>
      </c>
      <c r="H150" s="36" t="s">
        <v>59</v>
      </c>
      <c r="I150" s="23"/>
      <c r="K150" s="36" t="s">
        <v>25</v>
      </c>
      <c r="L150" s="36" t="s">
        <v>44</v>
      </c>
      <c r="R150" s="36" t="s">
        <v>119</v>
      </c>
      <c r="S150" s="11" t="s">
        <v>259</v>
      </c>
      <c r="V150" s="37" t="s">
        <v>232</v>
      </c>
    </row>
    <row r="151" s="2" customFormat="1" ht="15.75" spans="2:22">
      <c r="B151" s="9">
        <v>151</v>
      </c>
      <c r="C151" s="2">
        <v>150</v>
      </c>
      <c r="D151" s="10" t="s">
        <v>244</v>
      </c>
      <c r="E151" s="11">
        <v>330</v>
      </c>
      <c r="F151" s="11">
        <v>439</v>
      </c>
      <c r="G151" s="12">
        <v>3.7</v>
      </c>
      <c r="H151" s="36" t="s">
        <v>59</v>
      </c>
      <c r="I151" s="23"/>
      <c r="K151" s="36" t="s">
        <v>25</v>
      </c>
      <c r="L151" s="36" t="s">
        <v>44</v>
      </c>
      <c r="R151" s="36" t="s">
        <v>119</v>
      </c>
      <c r="S151" s="11" t="s">
        <v>253</v>
      </c>
      <c r="V151" s="37" t="s">
        <v>232</v>
      </c>
    </row>
    <row r="152" s="2" customFormat="1" ht="15.75" spans="2:22">
      <c r="B152" s="9">
        <v>152</v>
      </c>
      <c r="C152" s="2">
        <v>151</v>
      </c>
      <c r="D152" s="10" t="s">
        <v>244</v>
      </c>
      <c r="E152" s="11">
        <v>332</v>
      </c>
      <c r="F152" s="11">
        <v>449</v>
      </c>
      <c r="G152" s="12">
        <v>3.7</v>
      </c>
      <c r="H152" s="36" t="s">
        <v>59</v>
      </c>
      <c r="I152" s="23"/>
      <c r="K152" s="36" t="s">
        <v>25</v>
      </c>
      <c r="L152" s="36" t="s">
        <v>44</v>
      </c>
      <c r="R152" s="36" t="s">
        <v>119</v>
      </c>
      <c r="S152" s="11" t="s">
        <v>254</v>
      </c>
      <c r="V152" s="37" t="s">
        <v>232</v>
      </c>
    </row>
    <row r="153" s="2" customFormat="1" ht="15.75" spans="2:22">
      <c r="B153" s="9">
        <v>153</v>
      </c>
      <c r="C153" s="2">
        <v>152</v>
      </c>
      <c r="D153" s="10" t="s">
        <v>244</v>
      </c>
      <c r="E153" s="11">
        <v>361</v>
      </c>
      <c r="F153" s="11">
        <v>427</v>
      </c>
      <c r="G153" s="12">
        <v>3.7</v>
      </c>
      <c r="H153" s="36" t="s">
        <v>59</v>
      </c>
      <c r="I153" s="23"/>
      <c r="K153" s="36" t="s">
        <v>25</v>
      </c>
      <c r="L153" s="36" t="s">
        <v>44</v>
      </c>
      <c r="R153" s="36" t="s">
        <v>119</v>
      </c>
      <c r="S153" s="11" t="s">
        <v>252</v>
      </c>
      <c r="V153" s="37" t="s">
        <v>232</v>
      </c>
    </row>
    <row r="154" s="2" customFormat="1" ht="15.75" spans="2:22">
      <c r="B154" s="9">
        <v>154</v>
      </c>
      <c r="C154" s="2">
        <v>153</v>
      </c>
      <c r="D154" s="10" t="s">
        <v>260</v>
      </c>
      <c r="E154" s="11">
        <v>329</v>
      </c>
      <c r="F154" s="11">
        <v>388</v>
      </c>
      <c r="G154" s="12">
        <v>3.7</v>
      </c>
      <c r="H154" s="36" t="s">
        <v>59</v>
      </c>
      <c r="I154" s="23"/>
      <c r="K154" s="36" t="s">
        <v>25</v>
      </c>
      <c r="L154" s="36" t="s">
        <v>44</v>
      </c>
      <c r="R154" s="36" t="s">
        <v>119</v>
      </c>
      <c r="S154" s="11" t="s">
        <v>250</v>
      </c>
      <c r="V154" s="37" t="s">
        <v>232</v>
      </c>
    </row>
    <row r="155" s="2" customFormat="1" ht="15.75" spans="2:22">
      <c r="B155" s="9">
        <v>155</v>
      </c>
      <c r="C155" s="2">
        <v>154</v>
      </c>
      <c r="D155" s="10" t="s">
        <v>260</v>
      </c>
      <c r="E155" s="11">
        <v>312</v>
      </c>
      <c r="F155" s="11">
        <v>399</v>
      </c>
      <c r="G155" s="12">
        <v>3.7</v>
      </c>
      <c r="H155" s="36" t="s">
        <v>59</v>
      </c>
      <c r="I155" s="23"/>
      <c r="K155" s="36" t="s">
        <v>25</v>
      </c>
      <c r="L155" s="36" t="s">
        <v>44</v>
      </c>
      <c r="R155" s="36" t="s">
        <v>119</v>
      </c>
      <c r="S155" s="11" t="s">
        <v>261</v>
      </c>
      <c r="V155" s="37" t="s">
        <v>232</v>
      </c>
    </row>
    <row r="156" s="2" customFormat="1" ht="15.75" spans="2:22">
      <c r="B156" s="9">
        <v>156</v>
      </c>
      <c r="C156" s="2">
        <v>155</v>
      </c>
      <c r="D156" s="10" t="s">
        <v>248</v>
      </c>
      <c r="E156" s="11">
        <v>216</v>
      </c>
      <c r="F156" s="11">
        <v>295</v>
      </c>
      <c r="G156" s="12">
        <v>4.2</v>
      </c>
      <c r="H156" s="11">
        <v>0</v>
      </c>
      <c r="I156" s="23"/>
      <c r="K156" s="11">
        <v>0</v>
      </c>
      <c r="L156" s="11">
        <v>0</v>
      </c>
      <c r="R156" s="11" t="s">
        <v>63</v>
      </c>
      <c r="S156" s="11" t="s">
        <v>249</v>
      </c>
      <c r="V156" s="37" t="s">
        <v>232</v>
      </c>
    </row>
    <row r="157" s="2" customFormat="1" ht="15.75" spans="2:22">
      <c r="B157" s="9">
        <v>157</v>
      </c>
      <c r="C157" s="2">
        <v>156</v>
      </c>
      <c r="D157" s="10" t="s">
        <v>248</v>
      </c>
      <c r="E157" s="11">
        <v>368</v>
      </c>
      <c r="F157" s="11">
        <v>459</v>
      </c>
      <c r="G157" s="12">
        <v>4.2</v>
      </c>
      <c r="H157" s="36" t="s">
        <v>59</v>
      </c>
      <c r="I157" s="23"/>
      <c r="K157" s="36" t="s">
        <v>25</v>
      </c>
      <c r="L157" s="36" t="s">
        <v>44</v>
      </c>
      <c r="R157" s="36" t="s">
        <v>119</v>
      </c>
      <c r="S157" s="11" t="s">
        <v>256</v>
      </c>
      <c r="V157" s="37" t="s">
        <v>232</v>
      </c>
    </row>
    <row r="158" s="2" customFormat="1" ht="15.75" spans="2:22">
      <c r="B158" s="9">
        <v>158</v>
      </c>
      <c r="C158" s="2">
        <v>157</v>
      </c>
      <c r="D158" s="10" t="s">
        <v>248</v>
      </c>
      <c r="E158" s="11">
        <v>377</v>
      </c>
      <c r="F158" s="11">
        <v>448</v>
      </c>
      <c r="G158" s="12">
        <v>4.2</v>
      </c>
      <c r="H158" s="36" t="s">
        <v>59</v>
      </c>
      <c r="I158" s="23"/>
      <c r="K158" s="36" t="s">
        <v>25</v>
      </c>
      <c r="L158" s="36" t="s">
        <v>44</v>
      </c>
      <c r="R158" s="36" t="s">
        <v>119</v>
      </c>
      <c r="S158" s="11" t="s">
        <v>261</v>
      </c>
      <c r="V158" s="37" t="s">
        <v>232</v>
      </c>
    </row>
    <row r="159" s="2" customFormat="1" ht="15.75" spans="2:22">
      <c r="B159" s="9">
        <v>159</v>
      </c>
      <c r="C159" s="2">
        <v>158</v>
      </c>
      <c r="D159" s="10" t="s">
        <v>248</v>
      </c>
      <c r="E159" s="11">
        <v>414</v>
      </c>
      <c r="F159" s="11">
        <v>488</v>
      </c>
      <c r="G159" s="12">
        <v>4.2</v>
      </c>
      <c r="H159" s="36" t="s">
        <v>59</v>
      </c>
      <c r="I159" s="23"/>
      <c r="K159" s="36" t="s">
        <v>25</v>
      </c>
      <c r="L159" s="36" t="s">
        <v>44</v>
      </c>
      <c r="R159" s="36" t="s">
        <v>119</v>
      </c>
      <c r="S159" s="11" t="s">
        <v>252</v>
      </c>
      <c r="V159" s="37" t="s">
        <v>232</v>
      </c>
    </row>
    <row r="160" s="2" customFormat="1" ht="17" customHeight="1" spans="2:22">
      <c r="B160" s="9">
        <v>160</v>
      </c>
      <c r="C160" s="2">
        <v>159</v>
      </c>
      <c r="D160" s="10" t="s">
        <v>248</v>
      </c>
      <c r="E160" s="11">
        <v>436</v>
      </c>
      <c r="F160" s="11">
        <v>491</v>
      </c>
      <c r="G160" s="12">
        <v>4.2</v>
      </c>
      <c r="H160" s="36" t="s">
        <v>59</v>
      </c>
      <c r="I160" s="23"/>
      <c r="K160" s="36" t="s">
        <v>25</v>
      </c>
      <c r="L160" s="36" t="s">
        <v>44</v>
      </c>
      <c r="R160" s="36" t="s">
        <v>119</v>
      </c>
      <c r="S160" s="11" t="s">
        <v>255</v>
      </c>
      <c r="V160" s="37" t="s">
        <v>232</v>
      </c>
    </row>
    <row r="161" s="2" customFormat="1" ht="15.75" spans="2:22">
      <c r="B161" s="9">
        <v>162</v>
      </c>
      <c r="C161" s="2">
        <v>160</v>
      </c>
      <c r="D161" s="10" t="s">
        <v>262</v>
      </c>
      <c r="E161" s="11">
        <v>119</v>
      </c>
      <c r="F161" s="11">
        <v>178</v>
      </c>
      <c r="G161" s="12">
        <v>50</v>
      </c>
      <c r="H161" s="11" t="s">
        <v>23</v>
      </c>
      <c r="I161" s="23" t="s">
        <v>263</v>
      </c>
      <c r="J161" s="2" t="s">
        <v>264</v>
      </c>
      <c r="K161" s="36" t="s">
        <v>25</v>
      </c>
      <c r="L161" s="11" t="s">
        <v>26</v>
      </c>
      <c r="R161" s="11" t="s">
        <v>56</v>
      </c>
      <c r="S161" s="11"/>
      <c r="V161" s="37" t="s">
        <v>265</v>
      </c>
    </row>
    <row r="162" s="2" customFormat="1" ht="15.75" spans="2:22">
      <c r="B162" s="9">
        <v>163</v>
      </c>
      <c r="C162" s="2">
        <v>161</v>
      </c>
      <c r="D162" s="10" t="s">
        <v>262</v>
      </c>
      <c r="E162" s="11">
        <v>139</v>
      </c>
      <c r="F162" s="11">
        <v>234</v>
      </c>
      <c r="G162" s="12">
        <v>50</v>
      </c>
      <c r="H162" s="11" t="s">
        <v>23</v>
      </c>
      <c r="I162" s="23" t="s">
        <v>266</v>
      </c>
      <c r="J162" s="2" t="s">
        <v>267</v>
      </c>
      <c r="K162" s="36" t="s">
        <v>25</v>
      </c>
      <c r="L162" s="11" t="s">
        <v>26</v>
      </c>
      <c r="R162" s="11" t="s">
        <v>35</v>
      </c>
      <c r="S162" s="11" t="s">
        <v>268</v>
      </c>
      <c r="V162" s="37" t="s">
        <v>265</v>
      </c>
    </row>
    <row r="163" s="2" customFormat="1" ht="15.75" spans="2:22">
      <c r="B163" s="9">
        <v>164</v>
      </c>
      <c r="C163" s="2">
        <v>162</v>
      </c>
      <c r="D163" s="10" t="s">
        <v>262</v>
      </c>
      <c r="E163" s="11">
        <v>128</v>
      </c>
      <c r="F163" s="11">
        <v>211</v>
      </c>
      <c r="G163" s="12">
        <v>50</v>
      </c>
      <c r="H163" s="11" t="s">
        <v>23</v>
      </c>
      <c r="I163" s="23" t="s">
        <v>269</v>
      </c>
      <c r="K163" s="36" t="s">
        <v>25</v>
      </c>
      <c r="L163" s="11" t="s">
        <v>26</v>
      </c>
      <c r="R163" s="11" t="s">
        <v>270</v>
      </c>
      <c r="S163" s="11" t="s">
        <v>271</v>
      </c>
      <c r="V163" s="37" t="s">
        <v>265</v>
      </c>
    </row>
    <row r="164" s="2" customFormat="1" ht="15.75" spans="2:22">
      <c r="B164" s="9">
        <v>165</v>
      </c>
      <c r="C164" s="2">
        <v>163</v>
      </c>
      <c r="D164" s="10" t="s">
        <v>272</v>
      </c>
      <c r="E164" s="11">
        <v>113</v>
      </c>
      <c r="F164" s="11">
        <v>193</v>
      </c>
      <c r="G164" s="12">
        <v>50</v>
      </c>
      <c r="H164" s="11" t="s">
        <v>190</v>
      </c>
      <c r="I164" s="23" t="s">
        <v>273</v>
      </c>
      <c r="J164" s="2" t="s">
        <v>274</v>
      </c>
      <c r="K164" s="36" t="s">
        <v>25</v>
      </c>
      <c r="L164" s="11" t="s">
        <v>275</v>
      </c>
      <c r="R164" s="11" t="s">
        <v>56</v>
      </c>
      <c r="S164" s="11"/>
      <c r="V164" s="37" t="s">
        <v>265</v>
      </c>
    </row>
    <row r="165" s="2" customFormat="1" ht="15.75" spans="2:22">
      <c r="B165" s="9">
        <v>166</v>
      </c>
      <c r="C165" s="2">
        <v>164</v>
      </c>
      <c r="D165" s="10" t="s">
        <v>272</v>
      </c>
      <c r="E165" s="11">
        <v>141</v>
      </c>
      <c r="F165" s="11">
        <v>252</v>
      </c>
      <c r="G165" s="12">
        <v>50</v>
      </c>
      <c r="H165" s="11" t="s">
        <v>23</v>
      </c>
      <c r="I165" s="23" t="s">
        <v>276</v>
      </c>
      <c r="J165" s="2" t="s">
        <v>277</v>
      </c>
      <c r="K165" s="36" t="s">
        <v>25</v>
      </c>
      <c r="L165" s="11" t="s">
        <v>26</v>
      </c>
      <c r="R165" s="11" t="s">
        <v>35</v>
      </c>
      <c r="S165" s="11" t="s">
        <v>268</v>
      </c>
      <c r="V165" s="37" t="s">
        <v>265</v>
      </c>
    </row>
    <row r="166" s="2" customFormat="1" ht="15.75" spans="2:22">
      <c r="B166" s="9">
        <v>167</v>
      </c>
      <c r="C166" s="2">
        <v>165</v>
      </c>
      <c r="D166" s="10" t="s">
        <v>272</v>
      </c>
      <c r="E166" s="11">
        <v>124</v>
      </c>
      <c r="F166" s="11">
        <v>210</v>
      </c>
      <c r="G166" s="12">
        <v>50</v>
      </c>
      <c r="H166" s="11" t="s">
        <v>23</v>
      </c>
      <c r="I166" s="23" t="s">
        <v>278</v>
      </c>
      <c r="K166" s="36" t="s">
        <v>25</v>
      </c>
      <c r="L166" s="11" t="s">
        <v>26</v>
      </c>
      <c r="R166" s="11" t="s">
        <v>270</v>
      </c>
      <c r="S166" s="11" t="s">
        <v>271</v>
      </c>
      <c r="V166" s="37" t="s">
        <v>265</v>
      </c>
    </row>
    <row r="167" s="2" customFormat="1" ht="15.75" spans="2:22">
      <c r="B167" s="9">
        <v>168</v>
      </c>
      <c r="C167" s="2">
        <v>166</v>
      </c>
      <c r="D167" s="10" t="s">
        <v>279</v>
      </c>
      <c r="E167" s="11">
        <v>110</v>
      </c>
      <c r="F167" s="11">
        <v>189</v>
      </c>
      <c r="G167" s="12">
        <v>50</v>
      </c>
      <c r="H167" s="11" t="s">
        <v>190</v>
      </c>
      <c r="I167" s="23" t="s">
        <v>280</v>
      </c>
      <c r="J167" s="2" t="s">
        <v>281</v>
      </c>
      <c r="K167" s="36" t="s">
        <v>25</v>
      </c>
      <c r="L167" s="11" t="s">
        <v>275</v>
      </c>
      <c r="R167" s="11" t="s">
        <v>56</v>
      </c>
      <c r="S167" s="11"/>
      <c r="V167" s="37" t="s">
        <v>265</v>
      </c>
    </row>
    <row r="168" s="2" customFormat="1" ht="15.75" spans="2:22">
      <c r="B168" s="9">
        <v>169</v>
      </c>
      <c r="C168" s="2">
        <v>167</v>
      </c>
      <c r="D168" s="10" t="s">
        <v>279</v>
      </c>
      <c r="E168" s="11">
        <v>145</v>
      </c>
      <c r="F168" s="11">
        <v>265</v>
      </c>
      <c r="G168" s="12">
        <v>50</v>
      </c>
      <c r="H168" s="11" t="s">
        <v>190</v>
      </c>
      <c r="I168" s="23" t="s">
        <v>282</v>
      </c>
      <c r="J168" s="2" t="s">
        <v>283</v>
      </c>
      <c r="K168" s="36" t="s">
        <v>25</v>
      </c>
      <c r="L168" s="11" t="s">
        <v>275</v>
      </c>
      <c r="M168" s="2" t="s">
        <v>284</v>
      </c>
      <c r="O168" s="2" t="s">
        <v>285</v>
      </c>
      <c r="R168" s="11" t="s">
        <v>35</v>
      </c>
      <c r="S168" s="11" t="s">
        <v>268</v>
      </c>
      <c r="V168" s="37" t="s">
        <v>265</v>
      </c>
    </row>
    <row r="169" s="2" customFormat="1" ht="15.75" spans="2:22">
      <c r="B169" s="9">
        <v>170</v>
      </c>
      <c r="C169" s="2">
        <v>168</v>
      </c>
      <c r="D169" s="10" t="s">
        <v>279</v>
      </c>
      <c r="E169" s="11">
        <v>117</v>
      </c>
      <c r="F169" s="11">
        <v>199</v>
      </c>
      <c r="G169" s="12">
        <v>50</v>
      </c>
      <c r="H169" s="11" t="s">
        <v>190</v>
      </c>
      <c r="I169" s="23" t="s">
        <v>286</v>
      </c>
      <c r="J169" s="2" t="s">
        <v>287</v>
      </c>
      <c r="K169" s="36" t="s">
        <v>25</v>
      </c>
      <c r="L169" s="11" t="s">
        <v>275</v>
      </c>
      <c r="R169" s="11" t="s">
        <v>270</v>
      </c>
      <c r="S169" s="11" t="s">
        <v>271</v>
      </c>
      <c r="V169" s="37" t="s">
        <v>265</v>
      </c>
    </row>
    <row r="170" s="2" customFormat="1" ht="15.75" spans="2:22">
      <c r="B170" s="9">
        <v>171</v>
      </c>
      <c r="C170" s="2">
        <v>169</v>
      </c>
      <c r="D170" s="10" t="s">
        <v>262</v>
      </c>
      <c r="E170" s="11">
        <v>175</v>
      </c>
      <c r="F170" s="11">
        <v>306</v>
      </c>
      <c r="G170" s="12">
        <v>9.89</v>
      </c>
      <c r="H170" s="11" t="s">
        <v>23</v>
      </c>
      <c r="I170" s="23" t="s">
        <v>288</v>
      </c>
      <c r="K170" s="36" t="s">
        <v>25</v>
      </c>
      <c r="L170" s="11" t="s">
        <v>26</v>
      </c>
      <c r="R170" s="11" t="s">
        <v>289</v>
      </c>
      <c r="S170" s="11" t="s">
        <v>290</v>
      </c>
      <c r="V170" s="37" t="s">
        <v>265</v>
      </c>
    </row>
    <row r="171" s="2" customFormat="1" ht="15.75" spans="2:22">
      <c r="B171" s="9">
        <v>172</v>
      </c>
      <c r="C171" s="2">
        <v>170</v>
      </c>
      <c r="D171" s="10" t="s">
        <v>272</v>
      </c>
      <c r="E171" s="11">
        <v>198</v>
      </c>
      <c r="F171" s="11">
        <v>327</v>
      </c>
      <c r="G171" s="12">
        <v>8.76</v>
      </c>
      <c r="H171" s="11" t="s">
        <v>190</v>
      </c>
      <c r="I171" s="23" t="s">
        <v>291</v>
      </c>
      <c r="K171" s="36" t="s">
        <v>25</v>
      </c>
      <c r="L171" s="11" t="s">
        <v>275</v>
      </c>
      <c r="R171" s="11" t="s">
        <v>289</v>
      </c>
      <c r="S171" s="11" t="s">
        <v>290</v>
      </c>
      <c r="V171" s="37" t="s">
        <v>265</v>
      </c>
    </row>
    <row r="172" s="2" customFormat="1" ht="15.75" spans="2:22">
      <c r="B172" s="9">
        <v>173</v>
      </c>
      <c r="C172" s="2">
        <v>171</v>
      </c>
      <c r="D172" s="10" t="s">
        <v>279</v>
      </c>
      <c r="E172" s="11">
        <v>205</v>
      </c>
      <c r="F172" s="11">
        <v>323</v>
      </c>
      <c r="G172" s="12">
        <v>8.23</v>
      </c>
      <c r="H172" s="11" t="s">
        <v>190</v>
      </c>
      <c r="I172" s="23" t="s">
        <v>292</v>
      </c>
      <c r="K172" s="36" t="s">
        <v>25</v>
      </c>
      <c r="L172" s="11" t="s">
        <v>275</v>
      </c>
      <c r="R172" s="11" t="s">
        <v>289</v>
      </c>
      <c r="S172" s="11" t="s">
        <v>290</v>
      </c>
      <c r="V172" s="37" t="s">
        <v>265</v>
      </c>
    </row>
    <row r="173" s="2" customFormat="1" ht="15.75" spans="2:22">
      <c r="B173" s="9">
        <v>174</v>
      </c>
      <c r="C173" s="2">
        <v>172</v>
      </c>
      <c r="D173" s="10" t="s">
        <v>262</v>
      </c>
      <c r="E173" s="11">
        <v>262</v>
      </c>
      <c r="F173" s="11">
        <v>360</v>
      </c>
      <c r="G173" s="12">
        <v>3.08</v>
      </c>
      <c r="H173" s="11" t="s">
        <v>23</v>
      </c>
      <c r="I173" s="23" t="s">
        <v>293</v>
      </c>
      <c r="K173" s="36" t="s">
        <v>25</v>
      </c>
      <c r="L173" s="11" t="s">
        <v>26</v>
      </c>
      <c r="R173" s="11" t="s">
        <v>17</v>
      </c>
      <c r="S173" s="11" t="s">
        <v>294</v>
      </c>
      <c r="V173" s="37" t="s">
        <v>265</v>
      </c>
    </row>
    <row r="174" s="2" customFormat="1" ht="15.75" spans="2:22">
      <c r="B174" s="9">
        <v>175</v>
      </c>
      <c r="C174" s="2">
        <v>173</v>
      </c>
      <c r="D174" s="10" t="s">
        <v>272</v>
      </c>
      <c r="E174" s="11">
        <v>229</v>
      </c>
      <c r="F174" s="11">
        <v>336</v>
      </c>
      <c r="G174" s="12">
        <v>6.54</v>
      </c>
      <c r="H174" s="11" t="s">
        <v>190</v>
      </c>
      <c r="I174" s="23" t="s">
        <v>295</v>
      </c>
      <c r="K174" s="36" t="s">
        <v>25</v>
      </c>
      <c r="L174" s="11" t="s">
        <v>275</v>
      </c>
      <c r="R174" s="11" t="s">
        <v>17</v>
      </c>
      <c r="S174" s="11" t="s">
        <v>294</v>
      </c>
      <c r="V174" s="37" t="s">
        <v>265</v>
      </c>
    </row>
    <row r="175" s="2" customFormat="1" ht="15.75" spans="2:22">
      <c r="B175" s="9">
        <v>176</v>
      </c>
      <c r="C175" s="2">
        <v>174</v>
      </c>
      <c r="D175" s="10" t="s">
        <v>279</v>
      </c>
      <c r="E175" s="11">
        <v>213</v>
      </c>
      <c r="F175" s="11">
        <v>334</v>
      </c>
      <c r="G175" s="12">
        <v>8.49</v>
      </c>
      <c r="H175" s="11" t="s">
        <v>190</v>
      </c>
      <c r="I175" s="23" t="s">
        <v>296</v>
      </c>
      <c r="K175" s="36" t="s">
        <v>25</v>
      </c>
      <c r="L175" s="11" t="s">
        <v>275</v>
      </c>
      <c r="R175" s="11" t="s">
        <v>17</v>
      </c>
      <c r="S175" s="11" t="s">
        <v>294</v>
      </c>
      <c r="V175" s="37" t="s">
        <v>265</v>
      </c>
    </row>
    <row r="176" s="2" customFormat="1" ht="15.75" spans="2:22">
      <c r="B176" s="9">
        <v>177</v>
      </c>
      <c r="C176" s="2">
        <v>175</v>
      </c>
      <c r="D176" s="10" t="s">
        <v>297</v>
      </c>
      <c r="E176" s="11">
        <v>268</v>
      </c>
      <c r="F176" s="11">
        <v>345</v>
      </c>
      <c r="G176" s="12">
        <v>8.59</v>
      </c>
      <c r="H176" s="11" t="s">
        <v>190</v>
      </c>
      <c r="I176" s="23" t="s">
        <v>298</v>
      </c>
      <c r="J176" s="2" t="s">
        <v>299</v>
      </c>
      <c r="K176" s="36" t="s">
        <v>25</v>
      </c>
      <c r="L176" s="11" t="s">
        <v>275</v>
      </c>
      <c r="R176" s="11" t="s">
        <v>17</v>
      </c>
      <c r="S176" s="11" t="s">
        <v>294</v>
      </c>
      <c r="V176" s="37" t="s">
        <v>265</v>
      </c>
    </row>
    <row r="177" s="2" customFormat="1" ht="15.75" spans="2:22">
      <c r="B177" s="9">
        <v>178</v>
      </c>
      <c r="C177" s="2">
        <v>176</v>
      </c>
      <c r="D177" s="10" t="s">
        <v>300</v>
      </c>
      <c r="E177" s="11">
        <v>273</v>
      </c>
      <c r="F177" s="11">
        <v>363</v>
      </c>
      <c r="G177" s="12">
        <v>6.85</v>
      </c>
      <c r="H177" s="11" t="s">
        <v>190</v>
      </c>
      <c r="I177" s="23" t="s">
        <v>301</v>
      </c>
      <c r="J177" s="2" t="s">
        <v>299</v>
      </c>
      <c r="K177" s="36" t="s">
        <v>25</v>
      </c>
      <c r="L177" s="11" t="s">
        <v>275</v>
      </c>
      <c r="R177" s="11" t="s">
        <v>17</v>
      </c>
      <c r="S177" s="11" t="s">
        <v>294</v>
      </c>
      <c r="V177" s="37" t="s">
        <v>265</v>
      </c>
    </row>
    <row r="178" s="2" customFormat="1" ht="15.75" spans="2:22">
      <c r="B178" s="9">
        <v>179</v>
      </c>
      <c r="C178" s="2">
        <v>177</v>
      </c>
      <c r="D178" s="10" t="s">
        <v>302</v>
      </c>
      <c r="E178" s="11">
        <v>286</v>
      </c>
      <c r="F178" s="11">
        <v>355</v>
      </c>
      <c r="G178" s="12">
        <v>4.36</v>
      </c>
      <c r="H178" s="11" t="s">
        <v>190</v>
      </c>
      <c r="I178" s="23" t="s">
        <v>303</v>
      </c>
      <c r="J178" s="2" t="s">
        <v>299</v>
      </c>
      <c r="K178" s="36" t="s">
        <v>25</v>
      </c>
      <c r="L178" s="11" t="s">
        <v>275</v>
      </c>
      <c r="R178" s="11" t="s">
        <v>17</v>
      </c>
      <c r="S178" s="11" t="s">
        <v>294</v>
      </c>
      <c r="V178" s="37" t="s">
        <v>265</v>
      </c>
    </row>
    <row r="179" s="2" customFormat="1" ht="15.75" spans="2:22">
      <c r="B179" s="9">
        <v>180</v>
      </c>
      <c r="C179" s="2">
        <v>178</v>
      </c>
      <c r="D179" s="10" t="s">
        <v>304</v>
      </c>
      <c r="E179" s="11">
        <v>286</v>
      </c>
      <c r="F179" s="11">
        <v>369</v>
      </c>
      <c r="G179" s="12">
        <v>7.39</v>
      </c>
      <c r="H179" s="11" t="s">
        <v>190</v>
      </c>
      <c r="I179" s="23" t="s">
        <v>305</v>
      </c>
      <c r="J179" s="2" t="s">
        <v>306</v>
      </c>
      <c r="K179" s="36" t="s">
        <v>25</v>
      </c>
      <c r="L179" s="11" t="s">
        <v>275</v>
      </c>
      <c r="R179" s="11" t="s">
        <v>17</v>
      </c>
      <c r="S179" s="11" t="s">
        <v>294</v>
      </c>
      <c r="V179" s="37" t="s">
        <v>265</v>
      </c>
    </row>
    <row r="180" s="2" customFormat="1" ht="15.75" spans="2:22">
      <c r="B180" s="9">
        <v>181</v>
      </c>
      <c r="C180" s="2">
        <v>179</v>
      </c>
      <c r="D180" s="10" t="s">
        <v>307</v>
      </c>
      <c r="E180" s="11">
        <v>308</v>
      </c>
      <c r="F180" s="11">
        <v>379</v>
      </c>
      <c r="G180" s="12">
        <v>5.24</v>
      </c>
      <c r="H180" s="11" t="s">
        <v>190</v>
      </c>
      <c r="I180" s="23" t="s">
        <v>308</v>
      </c>
      <c r="J180" s="2" t="s">
        <v>306</v>
      </c>
      <c r="K180" s="36" t="s">
        <v>25</v>
      </c>
      <c r="L180" s="11" t="s">
        <v>275</v>
      </c>
      <c r="R180" s="11" t="s">
        <v>17</v>
      </c>
      <c r="S180" s="11" t="s">
        <v>294</v>
      </c>
      <c r="V180" s="37" t="s">
        <v>265</v>
      </c>
    </row>
    <row r="181" s="2" customFormat="1" ht="15.75" spans="2:22">
      <c r="B181" s="9">
        <v>182</v>
      </c>
      <c r="C181" s="2">
        <v>180</v>
      </c>
      <c r="D181" s="10" t="s">
        <v>309</v>
      </c>
      <c r="E181" s="11">
        <v>326</v>
      </c>
      <c r="F181" s="11">
        <v>391</v>
      </c>
      <c r="G181" s="12">
        <v>3.86</v>
      </c>
      <c r="H181" s="11" t="s">
        <v>190</v>
      </c>
      <c r="I181" s="23" t="s">
        <v>310</v>
      </c>
      <c r="J181" s="2" t="s">
        <v>306</v>
      </c>
      <c r="K181" s="36" t="s">
        <v>25</v>
      </c>
      <c r="L181" s="11" t="s">
        <v>275</v>
      </c>
      <c r="R181" s="11" t="s">
        <v>17</v>
      </c>
      <c r="S181" s="11" t="s">
        <v>294</v>
      </c>
      <c r="V181" s="37" t="s">
        <v>265</v>
      </c>
    </row>
    <row r="182" s="2" customFormat="1" ht="15.75" spans="2:22">
      <c r="B182" s="9">
        <v>183</v>
      </c>
      <c r="C182" s="2">
        <v>181</v>
      </c>
      <c r="D182" s="10" t="s">
        <v>311</v>
      </c>
      <c r="E182" s="11">
        <v>180</v>
      </c>
      <c r="F182" s="11">
        <v>225</v>
      </c>
      <c r="G182" s="12">
        <v>52.38</v>
      </c>
      <c r="H182" s="11" t="s">
        <v>23</v>
      </c>
      <c r="I182" s="23"/>
      <c r="K182" s="36" t="s">
        <v>25</v>
      </c>
      <c r="L182" s="11" t="s">
        <v>26</v>
      </c>
      <c r="R182" s="11" t="s">
        <v>45</v>
      </c>
      <c r="S182" s="11" t="s">
        <v>312</v>
      </c>
      <c r="V182" s="37" t="s">
        <v>313</v>
      </c>
    </row>
    <row r="183" s="2" customFormat="1" ht="15.75" spans="2:22">
      <c r="B183" s="9">
        <v>184</v>
      </c>
      <c r="C183" s="2">
        <v>182</v>
      </c>
      <c r="D183" s="10" t="s">
        <v>314</v>
      </c>
      <c r="E183" s="11">
        <v>190</v>
      </c>
      <c r="F183" s="11">
        <v>255</v>
      </c>
      <c r="G183" s="12">
        <v>36.16</v>
      </c>
      <c r="H183" s="11" t="s">
        <v>23</v>
      </c>
      <c r="I183" s="23"/>
      <c r="K183" s="36" t="s">
        <v>25</v>
      </c>
      <c r="L183" s="11" t="s">
        <v>26</v>
      </c>
      <c r="R183" s="11" t="s">
        <v>45</v>
      </c>
      <c r="S183" s="11" t="s">
        <v>312</v>
      </c>
      <c r="V183" s="37" t="s">
        <v>313</v>
      </c>
    </row>
    <row r="184" s="2" customFormat="1" ht="15.75" spans="2:22">
      <c r="B184" s="9">
        <v>185</v>
      </c>
      <c r="C184" s="2">
        <v>183</v>
      </c>
      <c r="D184" s="10" t="s">
        <v>315</v>
      </c>
      <c r="E184" s="11">
        <v>195</v>
      </c>
      <c r="F184" s="11">
        <v>260</v>
      </c>
      <c r="G184" s="12">
        <v>23.68</v>
      </c>
      <c r="H184" s="11" t="s">
        <v>77</v>
      </c>
      <c r="I184" s="23"/>
      <c r="J184" s="2" t="s">
        <v>316</v>
      </c>
      <c r="K184" s="36" t="s">
        <v>25</v>
      </c>
      <c r="L184" s="11" t="s">
        <v>78</v>
      </c>
      <c r="M184" s="2" t="s">
        <v>317</v>
      </c>
      <c r="N184" s="2" t="s">
        <v>318</v>
      </c>
      <c r="O184" s="2" t="s">
        <v>319</v>
      </c>
      <c r="R184" s="11" t="s">
        <v>45</v>
      </c>
      <c r="S184" s="11" t="s">
        <v>312</v>
      </c>
      <c r="V184" s="37" t="s">
        <v>313</v>
      </c>
    </row>
    <row r="185" s="2" customFormat="1" ht="15.75" spans="2:22">
      <c r="B185" s="9">
        <v>186</v>
      </c>
      <c r="C185" s="2">
        <v>184</v>
      </c>
      <c r="D185" s="10" t="s">
        <v>320</v>
      </c>
      <c r="E185" s="11">
        <v>180</v>
      </c>
      <c r="F185" s="11">
        <v>245</v>
      </c>
      <c r="G185" s="12">
        <v>56.26</v>
      </c>
      <c r="H185" s="11" t="s">
        <v>77</v>
      </c>
      <c r="I185" s="23"/>
      <c r="K185" s="36" t="s">
        <v>25</v>
      </c>
      <c r="L185" s="11" t="s">
        <v>78</v>
      </c>
      <c r="R185" s="11" t="s">
        <v>45</v>
      </c>
      <c r="S185" s="11" t="s">
        <v>312</v>
      </c>
      <c r="V185" s="37" t="s">
        <v>313</v>
      </c>
    </row>
    <row r="186" s="2" customFormat="1" ht="15.75" spans="2:22">
      <c r="B186" s="9">
        <v>187</v>
      </c>
      <c r="C186" s="2">
        <v>185</v>
      </c>
      <c r="D186" s="10" t="s">
        <v>321</v>
      </c>
      <c r="E186" s="11">
        <v>147</v>
      </c>
      <c r="F186" s="11">
        <v>174</v>
      </c>
      <c r="G186" s="12">
        <v>111</v>
      </c>
      <c r="H186" s="11">
        <v>1</v>
      </c>
      <c r="I186" s="23"/>
      <c r="J186" s="2" t="s">
        <v>89</v>
      </c>
      <c r="K186" s="36" t="s">
        <v>25</v>
      </c>
      <c r="L186" s="11" t="s">
        <v>275</v>
      </c>
      <c r="R186" s="36" t="s">
        <v>56</v>
      </c>
      <c r="S186" s="11"/>
      <c r="V186" s="37" t="s">
        <v>322</v>
      </c>
    </row>
    <row r="187" s="2" customFormat="1" ht="15.75" spans="2:22">
      <c r="B187" s="9">
        <v>188</v>
      </c>
      <c r="C187" s="2">
        <v>186</v>
      </c>
      <c r="D187" s="10" t="s">
        <v>323</v>
      </c>
      <c r="E187" s="11">
        <v>150</v>
      </c>
      <c r="F187" s="11">
        <v>182</v>
      </c>
      <c r="G187" s="12">
        <v>68</v>
      </c>
      <c r="H187" s="11" t="s">
        <v>190</v>
      </c>
      <c r="I187" s="23"/>
      <c r="J187" s="2" t="s">
        <v>324</v>
      </c>
      <c r="K187" s="36" t="s">
        <v>25</v>
      </c>
      <c r="L187" s="11" t="s">
        <v>275</v>
      </c>
      <c r="R187" s="36" t="s">
        <v>56</v>
      </c>
      <c r="S187" s="11"/>
      <c r="V187" s="37" t="s">
        <v>322</v>
      </c>
    </row>
    <row r="188" s="2" customFormat="1" ht="15.75" spans="2:22">
      <c r="B188" s="9">
        <v>189</v>
      </c>
      <c r="C188" s="2">
        <v>187</v>
      </c>
      <c r="D188" s="10" t="s">
        <v>325</v>
      </c>
      <c r="E188" s="11">
        <v>151</v>
      </c>
      <c r="F188" s="11">
        <v>194</v>
      </c>
      <c r="G188" s="12">
        <v>66</v>
      </c>
      <c r="H188" s="11" t="s">
        <v>190</v>
      </c>
      <c r="I188" s="23"/>
      <c r="J188" s="2" t="s">
        <v>324</v>
      </c>
      <c r="K188" s="36" t="s">
        <v>25</v>
      </c>
      <c r="L188" s="11" t="s">
        <v>275</v>
      </c>
      <c r="R188" s="36" t="s">
        <v>56</v>
      </c>
      <c r="S188" s="11"/>
      <c r="V188" s="37" t="s">
        <v>322</v>
      </c>
    </row>
    <row r="189" s="2" customFormat="1" ht="15.75" spans="2:22">
      <c r="B189" s="9">
        <v>190</v>
      </c>
      <c r="C189" s="2">
        <v>188</v>
      </c>
      <c r="D189" s="10" t="s">
        <v>321</v>
      </c>
      <c r="E189" s="11">
        <v>251</v>
      </c>
      <c r="F189" s="11">
        <v>327</v>
      </c>
      <c r="G189" s="12">
        <v>8.3</v>
      </c>
      <c r="H189" s="11">
        <v>0</v>
      </c>
      <c r="I189" s="23"/>
      <c r="K189" s="11">
        <v>0</v>
      </c>
      <c r="L189" s="11">
        <v>0</v>
      </c>
      <c r="R189" s="36" t="s">
        <v>63</v>
      </c>
      <c r="S189" s="11" t="s">
        <v>326</v>
      </c>
      <c r="V189" s="37" t="s">
        <v>322</v>
      </c>
    </row>
    <row r="190" s="2" customFormat="1" ht="15.75" spans="2:22">
      <c r="B190" s="9">
        <v>191</v>
      </c>
      <c r="C190" s="2">
        <v>189</v>
      </c>
      <c r="D190" s="10" t="s">
        <v>323</v>
      </c>
      <c r="E190" s="11">
        <v>289</v>
      </c>
      <c r="F190" s="11">
        <v>350</v>
      </c>
      <c r="G190" s="12">
        <v>3.6</v>
      </c>
      <c r="H190" s="11">
        <v>0</v>
      </c>
      <c r="I190" s="23"/>
      <c r="K190" s="11">
        <v>0</v>
      </c>
      <c r="L190" s="11">
        <v>0</v>
      </c>
      <c r="R190" s="36" t="s">
        <v>63</v>
      </c>
      <c r="S190" s="11" t="s">
        <v>326</v>
      </c>
      <c r="V190" s="37" t="s">
        <v>322</v>
      </c>
    </row>
    <row r="191" s="2" customFormat="1" ht="15.75" spans="2:22">
      <c r="B191" s="9">
        <v>192</v>
      </c>
      <c r="C191" s="2">
        <v>190</v>
      </c>
      <c r="D191" s="10" t="s">
        <v>325</v>
      </c>
      <c r="E191" s="11">
        <v>278</v>
      </c>
      <c r="F191" s="11">
        <v>350</v>
      </c>
      <c r="G191" s="12">
        <v>4.2</v>
      </c>
      <c r="H191" s="11">
        <v>0</v>
      </c>
      <c r="I191" s="23"/>
      <c r="K191" s="11">
        <v>0</v>
      </c>
      <c r="L191" s="11">
        <v>0</v>
      </c>
      <c r="R191" s="36" t="s">
        <v>63</v>
      </c>
      <c r="S191" s="11" t="s">
        <v>326</v>
      </c>
      <c r="V191" s="37" t="s">
        <v>322</v>
      </c>
    </row>
    <row r="192" s="2" customFormat="1" ht="15.75" spans="2:22">
      <c r="B192" s="9">
        <v>193</v>
      </c>
      <c r="C192" s="2">
        <v>191</v>
      </c>
      <c r="D192" s="10" t="s">
        <v>321</v>
      </c>
      <c r="E192" s="11">
        <v>357</v>
      </c>
      <c r="F192" s="11">
        <v>435</v>
      </c>
      <c r="G192" s="12">
        <v>8.3</v>
      </c>
      <c r="H192" s="11">
        <v>0</v>
      </c>
      <c r="I192" s="23"/>
      <c r="K192" s="11">
        <v>0</v>
      </c>
      <c r="L192" s="11">
        <v>0</v>
      </c>
      <c r="R192" s="36" t="s">
        <v>119</v>
      </c>
      <c r="S192" s="11" t="s">
        <v>327</v>
      </c>
      <c r="V192" s="37" t="s">
        <v>322</v>
      </c>
    </row>
    <row r="193" s="2" customFormat="1" ht="15.75" spans="2:22">
      <c r="B193" s="9">
        <v>194</v>
      </c>
      <c r="C193" s="2">
        <v>192</v>
      </c>
      <c r="D193" s="10" t="s">
        <v>323</v>
      </c>
      <c r="E193" s="11">
        <v>379</v>
      </c>
      <c r="F193" s="11">
        <v>453</v>
      </c>
      <c r="G193" s="12">
        <v>3.6</v>
      </c>
      <c r="H193" s="11">
        <v>0</v>
      </c>
      <c r="I193" s="23"/>
      <c r="K193" s="11">
        <v>0</v>
      </c>
      <c r="L193" s="11">
        <v>0</v>
      </c>
      <c r="R193" s="36" t="s">
        <v>119</v>
      </c>
      <c r="S193" s="11" t="s">
        <v>327</v>
      </c>
      <c r="V193" s="37" t="s">
        <v>322</v>
      </c>
    </row>
    <row r="194" s="2" customFormat="1" ht="15.75" spans="2:22">
      <c r="B194" s="9">
        <v>195</v>
      </c>
      <c r="C194" s="2">
        <v>193</v>
      </c>
      <c r="D194" s="10" t="s">
        <v>325</v>
      </c>
      <c r="E194" s="11">
        <v>395</v>
      </c>
      <c r="F194" s="11">
        <v>458</v>
      </c>
      <c r="G194" s="12">
        <v>4.2</v>
      </c>
      <c r="H194" s="11" t="s">
        <v>77</v>
      </c>
      <c r="I194" s="23"/>
      <c r="K194" s="11" t="s">
        <v>60</v>
      </c>
      <c r="L194" s="11" t="s">
        <v>78</v>
      </c>
      <c r="R194" s="36" t="s">
        <v>119</v>
      </c>
      <c r="S194" s="11" t="s">
        <v>327</v>
      </c>
      <c r="V194" s="37" t="s">
        <v>322</v>
      </c>
    </row>
    <row r="195" s="2" customFormat="1" ht="15.75" spans="2:22">
      <c r="B195" s="9">
        <v>196</v>
      </c>
      <c r="C195" s="2">
        <v>194</v>
      </c>
      <c r="D195" s="10" t="s">
        <v>328</v>
      </c>
      <c r="E195" s="11">
        <v>229</v>
      </c>
      <c r="F195" s="11">
        <v>185</v>
      </c>
      <c r="G195" s="12">
        <v>100</v>
      </c>
      <c r="H195" s="11">
        <v>0</v>
      </c>
      <c r="I195" s="23"/>
      <c r="K195" s="11">
        <v>0</v>
      </c>
      <c r="L195" s="11">
        <v>0</v>
      </c>
      <c r="R195" s="36" t="s">
        <v>56</v>
      </c>
      <c r="S195" s="11"/>
      <c r="V195" s="37" t="s">
        <v>329</v>
      </c>
    </row>
    <row r="196" s="2" customFormat="1" ht="15.75" spans="2:22">
      <c r="B196" s="9">
        <v>197</v>
      </c>
      <c r="C196" s="2">
        <v>195</v>
      </c>
      <c r="D196" s="10" t="s">
        <v>330</v>
      </c>
      <c r="E196" s="11">
        <v>202</v>
      </c>
      <c r="F196" s="11">
        <v>182</v>
      </c>
      <c r="G196" s="12">
        <v>50</v>
      </c>
      <c r="H196" s="11">
        <v>0</v>
      </c>
      <c r="I196" s="23"/>
      <c r="K196" s="11">
        <v>0</v>
      </c>
      <c r="L196" s="11">
        <v>0</v>
      </c>
      <c r="R196" s="36" t="s">
        <v>56</v>
      </c>
      <c r="S196" s="11"/>
      <c r="V196" s="37" t="s">
        <v>329</v>
      </c>
    </row>
    <row r="197" s="2" customFormat="1" ht="15.75" spans="2:22">
      <c r="B197" s="9">
        <v>198</v>
      </c>
      <c r="C197" s="2">
        <v>196</v>
      </c>
      <c r="D197" s="10" t="s">
        <v>331</v>
      </c>
      <c r="E197" s="11">
        <v>218</v>
      </c>
      <c r="F197" s="11">
        <v>169</v>
      </c>
      <c r="G197" s="12">
        <v>45</v>
      </c>
      <c r="H197" s="11">
        <v>0</v>
      </c>
      <c r="I197" s="23"/>
      <c r="K197" s="11">
        <v>0</v>
      </c>
      <c r="L197" s="11">
        <v>0</v>
      </c>
      <c r="R197" s="36" t="s">
        <v>56</v>
      </c>
      <c r="S197" s="11"/>
      <c r="V197" s="37" t="s">
        <v>329</v>
      </c>
    </row>
    <row r="198" s="2" customFormat="1" ht="15.75" spans="2:22">
      <c r="B198" s="9">
        <v>199</v>
      </c>
      <c r="C198" s="2">
        <v>197</v>
      </c>
      <c r="D198" s="10" t="s">
        <v>332</v>
      </c>
      <c r="E198" s="11">
        <v>222</v>
      </c>
      <c r="F198" s="11">
        <v>160</v>
      </c>
      <c r="G198" s="12">
        <v>40</v>
      </c>
      <c r="H198" s="11">
        <v>0</v>
      </c>
      <c r="I198" s="23"/>
      <c r="K198" s="11">
        <v>0</v>
      </c>
      <c r="L198" s="11">
        <v>0</v>
      </c>
      <c r="R198" s="36" t="s">
        <v>56</v>
      </c>
      <c r="S198" s="11"/>
      <c r="V198" s="37" t="s">
        <v>329</v>
      </c>
    </row>
    <row r="199" s="2" customFormat="1" ht="15.75" spans="2:22">
      <c r="B199" s="9">
        <v>200</v>
      </c>
      <c r="C199" s="2">
        <v>198</v>
      </c>
      <c r="D199" s="10" t="s">
        <v>328</v>
      </c>
      <c r="E199" s="11">
        <v>235</v>
      </c>
      <c r="F199" s="11">
        <v>205</v>
      </c>
      <c r="G199" s="12">
        <v>40</v>
      </c>
      <c r="H199" s="11">
        <v>0</v>
      </c>
      <c r="I199" s="23"/>
      <c r="K199" s="11">
        <v>0</v>
      </c>
      <c r="L199" s="11">
        <v>0</v>
      </c>
      <c r="R199" s="36" t="s">
        <v>35</v>
      </c>
      <c r="S199" s="11" t="s">
        <v>333</v>
      </c>
      <c r="V199" s="37" t="s">
        <v>329</v>
      </c>
    </row>
    <row r="200" s="2" customFormat="1" ht="15.75" spans="2:22">
      <c r="B200" s="9">
        <v>201</v>
      </c>
      <c r="C200" s="2">
        <v>199</v>
      </c>
      <c r="D200" s="10" t="s">
        <v>330</v>
      </c>
      <c r="E200" s="11">
        <v>213</v>
      </c>
      <c r="F200" s="11">
        <v>195</v>
      </c>
      <c r="G200" s="12">
        <v>110</v>
      </c>
      <c r="H200" s="11">
        <v>0</v>
      </c>
      <c r="I200" s="23"/>
      <c r="K200" s="11">
        <v>0</v>
      </c>
      <c r="L200" s="11">
        <v>0</v>
      </c>
      <c r="R200" s="36" t="s">
        <v>35</v>
      </c>
      <c r="S200" s="11" t="s">
        <v>334</v>
      </c>
      <c r="V200" s="37" t="s">
        <v>329</v>
      </c>
    </row>
    <row r="201" s="2" customFormat="1" ht="15.75" spans="2:22">
      <c r="B201" s="9">
        <v>202</v>
      </c>
      <c r="C201" s="2">
        <v>200</v>
      </c>
      <c r="D201" s="10" t="s">
        <v>331</v>
      </c>
      <c r="E201" s="11">
        <v>209</v>
      </c>
      <c r="F201" s="11">
        <v>181</v>
      </c>
      <c r="G201" s="12">
        <v>80</v>
      </c>
      <c r="H201" s="11">
        <v>0</v>
      </c>
      <c r="I201" s="23"/>
      <c r="K201" s="11">
        <v>0</v>
      </c>
      <c r="L201" s="11">
        <v>0</v>
      </c>
      <c r="R201" s="36" t="s">
        <v>35</v>
      </c>
      <c r="S201" s="11" t="s">
        <v>335</v>
      </c>
      <c r="V201" s="37" t="s">
        <v>329</v>
      </c>
    </row>
    <row r="202" s="2" customFormat="1" ht="15.75" spans="2:22">
      <c r="B202" s="9">
        <v>203</v>
      </c>
      <c r="C202" s="2">
        <v>201</v>
      </c>
      <c r="D202" s="10" t="s">
        <v>332</v>
      </c>
      <c r="E202" s="11">
        <v>198</v>
      </c>
      <c r="F202" s="11">
        <v>169</v>
      </c>
      <c r="G202" s="12">
        <v>35</v>
      </c>
      <c r="H202" s="11">
        <v>0</v>
      </c>
      <c r="I202" s="23"/>
      <c r="K202" s="11">
        <v>0</v>
      </c>
      <c r="L202" s="11">
        <v>0</v>
      </c>
      <c r="R202" s="36" t="s">
        <v>35</v>
      </c>
      <c r="S202" s="11" t="s">
        <v>336</v>
      </c>
      <c r="V202" s="37" t="s">
        <v>329</v>
      </c>
    </row>
    <row r="203" s="2" customFormat="1" ht="15.75" spans="2:22">
      <c r="B203" s="9">
        <v>204</v>
      </c>
      <c r="C203" s="2">
        <v>202</v>
      </c>
      <c r="D203" s="10" t="s">
        <v>328</v>
      </c>
      <c r="E203" s="11">
        <v>331</v>
      </c>
      <c r="F203" s="11">
        <v>245</v>
      </c>
      <c r="G203" s="12">
        <v>7.9</v>
      </c>
      <c r="H203" s="11">
        <v>0</v>
      </c>
      <c r="I203" s="23"/>
      <c r="K203" s="11">
        <v>0</v>
      </c>
      <c r="L203" s="11">
        <v>0</v>
      </c>
      <c r="R203" s="36" t="s">
        <v>63</v>
      </c>
      <c r="S203" s="11"/>
      <c r="V203" s="37" t="s">
        <v>329</v>
      </c>
    </row>
    <row r="204" s="2" customFormat="1" ht="15.75" spans="2:22">
      <c r="B204" s="9">
        <v>205</v>
      </c>
      <c r="C204" s="2">
        <v>203</v>
      </c>
      <c r="D204" s="10" t="s">
        <v>330</v>
      </c>
      <c r="E204" s="11">
        <v>369</v>
      </c>
      <c r="F204" s="11">
        <v>305</v>
      </c>
      <c r="G204" s="12">
        <v>4.9</v>
      </c>
      <c r="H204" s="11" t="s">
        <v>23</v>
      </c>
      <c r="I204" s="23"/>
      <c r="J204" s="2" t="s">
        <v>24</v>
      </c>
      <c r="K204" s="36" t="s">
        <v>25</v>
      </c>
      <c r="L204" s="36" t="s">
        <v>26</v>
      </c>
      <c r="O204" s="2" t="s">
        <v>337</v>
      </c>
      <c r="R204" s="36" t="s">
        <v>63</v>
      </c>
      <c r="S204" s="11"/>
      <c r="V204" s="37" t="s">
        <v>329</v>
      </c>
    </row>
    <row r="205" s="2" customFormat="1" ht="15.75" spans="2:22">
      <c r="B205" s="9">
        <v>206</v>
      </c>
      <c r="C205" s="2">
        <v>204</v>
      </c>
      <c r="D205" s="10" t="s">
        <v>331</v>
      </c>
      <c r="E205" s="11">
        <v>366</v>
      </c>
      <c r="F205" s="11">
        <v>291</v>
      </c>
      <c r="G205" s="12">
        <v>5.9</v>
      </c>
      <c r="H205" s="11" t="s">
        <v>23</v>
      </c>
      <c r="I205" s="23"/>
      <c r="J205" s="2" t="s">
        <v>24</v>
      </c>
      <c r="K205" s="36" t="s">
        <v>25</v>
      </c>
      <c r="L205" s="36" t="s">
        <v>26</v>
      </c>
      <c r="O205" s="2" t="s">
        <v>337</v>
      </c>
      <c r="R205" s="36" t="s">
        <v>63</v>
      </c>
      <c r="S205" s="11"/>
      <c r="V205" s="37" t="s">
        <v>329</v>
      </c>
    </row>
    <row r="206" s="2" customFormat="1" ht="15.75" spans="2:22">
      <c r="B206" s="9">
        <v>207</v>
      </c>
      <c r="C206" s="2">
        <v>205</v>
      </c>
      <c r="D206" s="10" t="s">
        <v>332</v>
      </c>
      <c r="E206" s="11">
        <v>341</v>
      </c>
      <c r="F206" s="11">
        <v>230</v>
      </c>
      <c r="G206" s="12">
        <v>5.7</v>
      </c>
      <c r="H206" s="11" t="s">
        <v>23</v>
      </c>
      <c r="I206" s="23"/>
      <c r="J206" s="2" t="s">
        <v>24</v>
      </c>
      <c r="K206" s="36" t="s">
        <v>25</v>
      </c>
      <c r="L206" s="36" t="s">
        <v>26</v>
      </c>
      <c r="R206" s="36" t="s">
        <v>63</v>
      </c>
      <c r="S206" s="11"/>
      <c r="V206" s="37" t="s">
        <v>329</v>
      </c>
    </row>
    <row r="207" s="2" customFormat="1" ht="15.75" spans="2:22">
      <c r="B207" s="9">
        <v>208</v>
      </c>
      <c r="C207" s="2">
        <v>206</v>
      </c>
      <c r="D207" s="10" t="s">
        <v>328</v>
      </c>
      <c r="E207" s="11">
        <v>459</v>
      </c>
      <c r="F207" s="11">
        <v>332</v>
      </c>
      <c r="G207" s="12">
        <v>7.9</v>
      </c>
      <c r="H207" s="11" t="s">
        <v>77</v>
      </c>
      <c r="I207" s="23"/>
      <c r="K207" s="11" t="s">
        <v>60</v>
      </c>
      <c r="L207" s="11" t="s">
        <v>78</v>
      </c>
      <c r="R207" s="36" t="s">
        <v>67</v>
      </c>
      <c r="S207" s="11" t="s">
        <v>338</v>
      </c>
      <c r="V207" s="37" t="s">
        <v>329</v>
      </c>
    </row>
    <row r="208" s="2" customFormat="1" ht="15.75" spans="2:22">
      <c r="B208" s="9">
        <v>209</v>
      </c>
      <c r="C208" s="2">
        <v>207</v>
      </c>
      <c r="D208" s="10" t="s">
        <v>330</v>
      </c>
      <c r="E208" s="11">
        <v>468</v>
      </c>
      <c r="F208" s="11">
        <v>378</v>
      </c>
      <c r="G208" s="12">
        <v>4.9</v>
      </c>
      <c r="H208" s="11" t="s">
        <v>77</v>
      </c>
      <c r="I208" s="23"/>
      <c r="J208" s="2" t="s">
        <v>339</v>
      </c>
      <c r="K208" s="11" t="s">
        <v>60</v>
      </c>
      <c r="L208" s="11" t="s">
        <v>78</v>
      </c>
      <c r="O208" s="2" t="s">
        <v>340</v>
      </c>
      <c r="R208" s="36" t="s">
        <v>67</v>
      </c>
      <c r="S208" s="11" t="s">
        <v>338</v>
      </c>
      <c r="V208" s="37" t="s">
        <v>329</v>
      </c>
    </row>
    <row r="209" s="2" customFormat="1" ht="15.75" spans="2:22">
      <c r="B209" s="9">
        <v>210</v>
      </c>
      <c r="C209" s="2">
        <v>208</v>
      </c>
      <c r="D209" s="10" t="s">
        <v>331</v>
      </c>
      <c r="E209" s="11">
        <v>449</v>
      </c>
      <c r="F209" s="11">
        <v>362</v>
      </c>
      <c r="G209" s="12">
        <v>5.9</v>
      </c>
      <c r="H209" s="11" t="s">
        <v>77</v>
      </c>
      <c r="I209" s="23"/>
      <c r="K209" s="11" t="s">
        <v>60</v>
      </c>
      <c r="L209" s="11" t="s">
        <v>78</v>
      </c>
      <c r="R209" s="36" t="s">
        <v>67</v>
      </c>
      <c r="S209" s="11" t="s">
        <v>338</v>
      </c>
      <c r="V209" s="37" t="s">
        <v>329</v>
      </c>
    </row>
    <row r="210" s="2" customFormat="1" ht="15.75" spans="2:22">
      <c r="B210" s="9">
        <v>211</v>
      </c>
      <c r="C210" s="2">
        <v>209</v>
      </c>
      <c r="D210" s="10" t="s">
        <v>332</v>
      </c>
      <c r="E210" s="11">
        <v>346</v>
      </c>
      <c r="F210" s="11">
        <v>239</v>
      </c>
      <c r="G210" s="12">
        <v>5.7</v>
      </c>
      <c r="H210" s="11" t="s">
        <v>77</v>
      </c>
      <c r="I210" s="23"/>
      <c r="K210" s="11" t="s">
        <v>60</v>
      </c>
      <c r="L210" s="11" t="s">
        <v>78</v>
      </c>
      <c r="R210" s="36" t="s">
        <v>67</v>
      </c>
      <c r="S210" s="11" t="s">
        <v>338</v>
      </c>
      <c r="V210" s="37" t="s">
        <v>329</v>
      </c>
    </row>
    <row r="211" s="2" customFormat="1" ht="15.75" spans="2:22">
      <c r="B211" s="9">
        <v>212</v>
      </c>
      <c r="C211" s="2">
        <v>210</v>
      </c>
      <c r="D211" s="10" t="s">
        <v>341</v>
      </c>
      <c r="E211" s="11">
        <v>208</v>
      </c>
      <c r="F211" s="11">
        <v>306</v>
      </c>
      <c r="G211" s="12">
        <v>8.2</v>
      </c>
      <c r="H211" s="11" t="s">
        <v>77</v>
      </c>
      <c r="I211" s="23">
        <v>0.039</v>
      </c>
      <c r="K211" s="11" t="s">
        <v>60</v>
      </c>
      <c r="L211" s="11" t="s">
        <v>78</v>
      </c>
      <c r="R211" s="36" t="s">
        <v>63</v>
      </c>
      <c r="S211" s="11"/>
      <c r="V211" s="37" t="s">
        <v>342</v>
      </c>
    </row>
    <row r="212" s="2" customFormat="1" ht="15.75" spans="2:22">
      <c r="B212" s="9">
        <v>213</v>
      </c>
      <c r="C212" s="2">
        <v>211</v>
      </c>
      <c r="D212" s="10" t="s">
        <v>343</v>
      </c>
      <c r="E212" s="11">
        <v>235</v>
      </c>
      <c r="F212" s="11">
        <v>317</v>
      </c>
      <c r="G212" s="12">
        <v>5.6</v>
      </c>
      <c r="H212" s="11" t="s">
        <v>77</v>
      </c>
      <c r="I212" s="23">
        <v>0.055</v>
      </c>
      <c r="K212" s="11" t="s">
        <v>60</v>
      </c>
      <c r="L212" s="11" t="s">
        <v>78</v>
      </c>
      <c r="R212" s="36" t="s">
        <v>63</v>
      </c>
      <c r="S212" s="11"/>
      <c r="V212" s="37" t="s">
        <v>342</v>
      </c>
    </row>
    <row r="213" s="2" customFormat="1" ht="15.75" spans="2:22">
      <c r="B213" s="9">
        <v>214</v>
      </c>
      <c r="C213" s="2">
        <v>212</v>
      </c>
      <c r="D213" s="10" t="s">
        <v>344</v>
      </c>
      <c r="E213" s="11">
        <v>263</v>
      </c>
      <c r="F213" s="11">
        <v>338</v>
      </c>
      <c r="G213" s="12">
        <v>3.6</v>
      </c>
      <c r="H213" s="11" t="s">
        <v>77</v>
      </c>
      <c r="I213" s="23">
        <v>0.076</v>
      </c>
      <c r="K213" s="11" t="s">
        <v>60</v>
      </c>
      <c r="L213" s="11" t="s">
        <v>78</v>
      </c>
      <c r="R213" s="36" t="s">
        <v>63</v>
      </c>
      <c r="S213" s="11"/>
      <c r="V213" s="37" t="s">
        <v>342</v>
      </c>
    </row>
    <row r="214" s="2" customFormat="1" ht="15.75" spans="2:22">
      <c r="B214" s="9">
        <v>215</v>
      </c>
      <c r="C214" s="2">
        <v>213</v>
      </c>
      <c r="D214" s="10" t="s">
        <v>345</v>
      </c>
      <c r="E214" s="11">
        <v>305</v>
      </c>
      <c r="F214" s="11">
        <v>354</v>
      </c>
      <c r="G214" s="12">
        <v>2.4</v>
      </c>
      <c r="H214" s="11" t="s">
        <v>77</v>
      </c>
      <c r="I214" s="23">
        <v>0.092</v>
      </c>
      <c r="K214" s="11" t="s">
        <v>60</v>
      </c>
      <c r="L214" s="11" t="s">
        <v>78</v>
      </c>
      <c r="R214" s="36" t="s">
        <v>63</v>
      </c>
      <c r="S214" s="11"/>
      <c r="V214" s="37" t="s">
        <v>342</v>
      </c>
    </row>
    <row r="215" s="2" customFormat="1" ht="15.75" spans="2:22">
      <c r="B215" s="9">
        <v>216</v>
      </c>
      <c r="C215" s="2">
        <v>214</v>
      </c>
      <c r="D215" s="10" t="s">
        <v>346</v>
      </c>
      <c r="E215" s="11">
        <v>136</v>
      </c>
      <c r="F215" s="11">
        <v>225</v>
      </c>
      <c r="G215" s="12">
        <v>41.14</v>
      </c>
      <c r="H215" s="11" t="s">
        <v>59</v>
      </c>
      <c r="I215" s="23">
        <v>0.1141</v>
      </c>
      <c r="K215" s="36" t="s">
        <v>25</v>
      </c>
      <c r="L215" s="11" t="s">
        <v>44</v>
      </c>
      <c r="R215" s="11" t="s">
        <v>56</v>
      </c>
      <c r="S215" s="11"/>
      <c r="V215" s="37" t="s">
        <v>347</v>
      </c>
    </row>
    <row r="216" s="2" customFormat="1" ht="15.75" spans="2:22">
      <c r="B216" s="9">
        <v>217</v>
      </c>
      <c r="C216" s="2">
        <v>215</v>
      </c>
      <c r="D216" s="10" t="s">
        <v>348</v>
      </c>
      <c r="E216" s="11">
        <v>141</v>
      </c>
      <c r="F216" s="11">
        <v>232</v>
      </c>
      <c r="G216" s="12">
        <v>40.39</v>
      </c>
      <c r="H216" s="11" t="s">
        <v>59</v>
      </c>
      <c r="I216" s="23">
        <v>0.1073</v>
      </c>
      <c r="K216" s="36" t="s">
        <v>25</v>
      </c>
      <c r="L216" s="11" t="s">
        <v>44</v>
      </c>
      <c r="R216" s="11" t="s">
        <v>56</v>
      </c>
      <c r="S216" s="11"/>
      <c r="V216" s="37" t="s">
        <v>347</v>
      </c>
    </row>
    <row r="217" s="2" customFormat="1" ht="15.75" spans="2:22">
      <c r="B217" s="9">
        <v>218</v>
      </c>
      <c r="C217" s="2">
        <v>216</v>
      </c>
      <c r="D217" s="10" t="s">
        <v>349</v>
      </c>
      <c r="E217" s="11">
        <v>156</v>
      </c>
      <c r="F217" s="11">
        <v>260</v>
      </c>
      <c r="G217" s="12">
        <v>40.53</v>
      </c>
      <c r="H217" s="11" t="s">
        <v>59</v>
      </c>
      <c r="I217" s="23">
        <v>0.0927</v>
      </c>
      <c r="K217" s="36" t="s">
        <v>25</v>
      </c>
      <c r="L217" s="11" t="s">
        <v>44</v>
      </c>
      <c r="R217" s="11" t="s">
        <v>56</v>
      </c>
      <c r="S217" s="11"/>
      <c r="V217" s="37" t="s">
        <v>347</v>
      </c>
    </row>
    <row r="218" s="2" customFormat="1" ht="15.75" spans="2:22">
      <c r="B218" s="9">
        <v>219</v>
      </c>
      <c r="C218" s="2">
        <v>217</v>
      </c>
      <c r="D218" s="10" t="s">
        <v>350</v>
      </c>
      <c r="E218" s="11">
        <v>159</v>
      </c>
      <c r="F218" s="11">
        <v>264</v>
      </c>
      <c r="G218" s="12">
        <v>39.25</v>
      </c>
      <c r="H218" s="11" t="s">
        <v>59</v>
      </c>
      <c r="I218" s="23">
        <v>0.0836</v>
      </c>
      <c r="K218" s="36" t="s">
        <v>25</v>
      </c>
      <c r="L218" s="11" t="s">
        <v>44</v>
      </c>
      <c r="R218" s="11" t="s">
        <v>56</v>
      </c>
      <c r="S218" s="11"/>
      <c r="V218" s="37" t="s">
        <v>347</v>
      </c>
    </row>
    <row r="219" s="2" customFormat="1" ht="15.75" spans="2:22">
      <c r="B219" s="9">
        <v>220</v>
      </c>
      <c r="C219" s="2">
        <v>218</v>
      </c>
      <c r="D219" s="10" t="s">
        <v>351</v>
      </c>
      <c r="E219" s="11">
        <v>161</v>
      </c>
      <c r="F219" s="11">
        <v>268</v>
      </c>
      <c r="G219" s="12">
        <v>38.56</v>
      </c>
      <c r="H219" s="11" t="s">
        <v>59</v>
      </c>
      <c r="I219" s="23">
        <v>0.0712</v>
      </c>
      <c r="K219" s="36" t="s">
        <v>25</v>
      </c>
      <c r="L219" s="11" t="s">
        <v>44</v>
      </c>
      <c r="R219" s="11" t="s">
        <v>56</v>
      </c>
      <c r="S219" s="11"/>
      <c r="V219" s="37" t="s">
        <v>347</v>
      </c>
    </row>
    <row r="220" s="2" customFormat="1" ht="15.75" spans="2:22">
      <c r="B220" s="9">
        <v>221</v>
      </c>
      <c r="C220" s="2">
        <v>219</v>
      </c>
      <c r="D220" s="10" t="s">
        <v>346</v>
      </c>
      <c r="E220" s="11">
        <v>136</v>
      </c>
      <c r="F220" s="11">
        <v>225</v>
      </c>
      <c r="G220" s="12">
        <v>43.41</v>
      </c>
      <c r="H220" s="11">
        <v>1</v>
      </c>
      <c r="I220" s="23">
        <v>0.0622</v>
      </c>
      <c r="K220" s="11" t="s">
        <v>34</v>
      </c>
      <c r="L220" s="11">
        <v>1</v>
      </c>
      <c r="R220" s="11" t="s">
        <v>35</v>
      </c>
      <c r="S220" s="11" t="s">
        <v>352</v>
      </c>
      <c r="V220" s="37" t="s">
        <v>347</v>
      </c>
    </row>
    <row r="221" s="2" customFormat="1" ht="15.75" spans="2:22">
      <c r="B221" s="9">
        <v>222</v>
      </c>
      <c r="C221" s="2">
        <v>220</v>
      </c>
      <c r="D221" s="10" t="s">
        <v>348</v>
      </c>
      <c r="E221" s="11">
        <v>141</v>
      </c>
      <c r="F221" s="11">
        <v>232</v>
      </c>
      <c r="G221" s="12">
        <v>43.68</v>
      </c>
      <c r="H221" s="11">
        <v>1</v>
      </c>
      <c r="I221" s="23">
        <v>0.0593</v>
      </c>
      <c r="K221" s="11" t="s">
        <v>34</v>
      </c>
      <c r="L221" s="11">
        <v>1</v>
      </c>
      <c r="R221" s="11" t="s">
        <v>35</v>
      </c>
      <c r="S221" s="11" t="s">
        <v>352</v>
      </c>
      <c r="V221" s="37" t="s">
        <v>347</v>
      </c>
    </row>
    <row r="222" s="2" customFormat="1" ht="15.75" spans="2:22">
      <c r="B222" s="9">
        <v>223</v>
      </c>
      <c r="C222" s="2">
        <v>221</v>
      </c>
      <c r="D222" s="10" t="s">
        <v>349</v>
      </c>
      <c r="E222" s="11">
        <v>156</v>
      </c>
      <c r="F222" s="11">
        <v>260</v>
      </c>
      <c r="G222" s="12">
        <v>42.16</v>
      </c>
      <c r="H222" s="11">
        <v>1</v>
      </c>
      <c r="I222" s="23">
        <v>0.0464</v>
      </c>
      <c r="K222" s="11" t="s">
        <v>34</v>
      </c>
      <c r="L222" s="11">
        <v>1</v>
      </c>
      <c r="R222" s="11" t="s">
        <v>35</v>
      </c>
      <c r="S222" s="11" t="s">
        <v>352</v>
      </c>
      <c r="V222" s="37" t="s">
        <v>347</v>
      </c>
    </row>
    <row r="223" s="2" customFormat="1" ht="15.75" spans="2:22">
      <c r="B223" s="9">
        <v>224</v>
      </c>
      <c r="C223" s="2">
        <v>222</v>
      </c>
      <c r="D223" s="10" t="s">
        <v>350</v>
      </c>
      <c r="E223" s="11">
        <v>159</v>
      </c>
      <c r="F223" s="11">
        <v>264</v>
      </c>
      <c r="G223" s="12">
        <v>42.09</v>
      </c>
      <c r="H223" s="11">
        <v>1</v>
      </c>
      <c r="I223" s="23">
        <v>0.0428</v>
      </c>
      <c r="K223" s="11" t="s">
        <v>34</v>
      </c>
      <c r="L223" s="11">
        <v>1</v>
      </c>
      <c r="R223" s="11" t="s">
        <v>35</v>
      </c>
      <c r="S223" s="11" t="s">
        <v>352</v>
      </c>
      <c r="V223" s="37" t="s">
        <v>347</v>
      </c>
    </row>
    <row r="224" s="2" customFormat="1" ht="15.75" spans="2:22">
      <c r="B224" s="9">
        <v>225</v>
      </c>
      <c r="C224" s="2">
        <v>223</v>
      </c>
      <c r="D224" s="10" t="s">
        <v>351</v>
      </c>
      <c r="E224" s="11">
        <v>161</v>
      </c>
      <c r="F224" s="11">
        <v>268</v>
      </c>
      <c r="G224" s="12">
        <v>41.77</v>
      </c>
      <c r="H224" s="11">
        <v>1</v>
      </c>
      <c r="I224" s="23">
        <v>0.0393</v>
      </c>
      <c r="K224" s="11" t="s">
        <v>34</v>
      </c>
      <c r="L224" s="11">
        <v>1</v>
      </c>
      <c r="R224" s="11" t="s">
        <v>35</v>
      </c>
      <c r="S224" s="11" t="s">
        <v>352</v>
      </c>
      <c r="V224" s="37" t="s">
        <v>347</v>
      </c>
    </row>
    <row r="225" s="2" customFormat="1" ht="15.75" spans="2:22">
      <c r="B225" s="9">
        <v>226</v>
      </c>
      <c r="C225" s="2">
        <v>224</v>
      </c>
      <c r="D225" s="10" t="s">
        <v>346</v>
      </c>
      <c r="E225" s="11">
        <v>184</v>
      </c>
      <c r="F225" s="11">
        <v>250</v>
      </c>
      <c r="G225" s="12">
        <v>43.41</v>
      </c>
      <c r="H225" s="11" t="s">
        <v>59</v>
      </c>
      <c r="I225" s="23" t="s">
        <v>353</v>
      </c>
      <c r="J225" s="2" t="s">
        <v>354</v>
      </c>
      <c r="K225" s="36" t="s">
        <v>25</v>
      </c>
      <c r="L225" s="11" t="s">
        <v>44</v>
      </c>
      <c r="N225" s="2" t="s">
        <v>355</v>
      </c>
      <c r="O225" s="2" t="s">
        <v>356</v>
      </c>
      <c r="R225" s="11" t="s">
        <v>45</v>
      </c>
      <c r="S225" s="11" t="s">
        <v>357</v>
      </c>
      <c r="V225" s="37" t="s">
        <v>347</v>
      </c>
    </row>
    <row r="226" s="2" customFormat="1" ht="15.75" spans="2:22">
      <c r="B226" s="9">
        <v>227</v>
      </c>
      <c r="C226" s="2">
        <v>225</v>
      </c>
      <c r="D226" s="10" t="s">
        <v>348</v>
      </c>
      <c r="E226" s="11">
        <v>190</v>
      </c>
      <c r="F226" s="11">
        <v>258</v>
      </c>
      <c r="G226" s="12">
        <v>43.68</v>
      </c>
      <c r="H226" s="11" t="s">
        <v>59</v>
      </c>
      <c r="I226" s="23"/>
      <c r="J226" s="2" t="s">
        <v>354</v>
      </c>
      <c r="K226" s="36" t="s">
        <v>25</v>
      </c>
      <c r="L226" s="11" t="s">
        <v>44</v>
      </c>
      <c r="R226" s="11" t="s">
        <v>45</v>
      </c>
      <c r="S226" s="11" t="s">
        <v>357</v>
      </c>
      <c r="V226" s="37" t="s">
        <v>347</v>
      </c>
    </row>
    <row r="227" s="2" customFormat="1" ht="15.75" spans="2:22">
      <c r="B227" s="9">
        <v>228</v>
      </c>
      <c r="C227" s="2">
        <v>226</v>
      </c>
      <c r="D227" s="10" t="s">
        <v>349</v>
      </c>
      <c r="E227" s="11">
        <v>218</v>
      </c>
      <c r="F227" s="11">
        <v>290</v>
      </c>
      <c r="G227" s="12">
        <v>42.16</v>
      </c>
      <c r="H227" s="11" t="s">
        <v>59</v>
      </c>
      <c r="I227" s="23" t="s">
        <v>358</v>
      </c>
      <c r="J227" s="2" t="s">
        <v>359</v>
      </c>
      <c r="K227" s="36" t="s">
        <v>25</v>
      </c>
      <c r="L227" s="11" t="s">
        <v>44</v>
      </c>
      <c r="N227" s="2" t="s">
        <v>360</v>
      </c>
      <c r="O227" s="2" t="s">
        <v>361</v>
      </c>
      <c r="R227" s="11" t="s">
        <v>45</v>
      </c>
      <c r="S227" s="11" t="s">
        <v>357</v>
      </c>
      <c r="V227" s="37" t="s">
        <v>347</v>
      </c>
    </row>
    <row r="228" s="2" customFormat="1" ht="15.75" spans="2:22">
      <c r="B228" s="9">
        <v>229</v>
      </c>
      <c r="C228" s="2">
        <v>227</v>
      </c>
      <c r="D228" s="10" t="s">
        <v>350</v>
      </c>
      <c r="E228" s="11">
        <v>221</v>
      </c>
      <c r="F228" s="11">
        <v>293</v>
      </c>
      <c r="G228" s="12">
        <v>42.09</v>
      </c>
      <c r="H228" s="11" t="s">
        <v>59</v>
      </c>
      <c r="I228" s="23"/>
      <c r="J228" s="2" t="s">
        <v>359</v>
      </c>
      <c r="K228" s="36" t="s">
        <v>25</v>
      </c>
      <c r="L228" s="11" t="s">
        <v>44</v>
      </c>
      <c r="N228" s="2" t="s">
        <v>362</v>
      </c>
      <c r="O228" s="2" t="s">
        <v>363</v>
      </c>
      <c r="R228" s="11" t="s">
        <v>45</v>
      </c>
      <c r="S228" s="11" t="s">
        <v>357</v>
      </c>
      <c r="V228" s="37" t="s">
        <v>347</v>
      </c>
    </row>
    <row r="229" s="2" customFormat="1" ht="15.75" spans="2:22">
      <c r="B229" s="9">
        <v>230</v>
      </c>
      <c r="C229" s="2">
        <v>228</v>
      </c>
      <c r="D229" s="10" t="s">
        <v>351</v>
      </c>
      <c r="E229" s="11">
        <v>223</v>
      </c>
      <c r="F229" s="11">
        <v>295</v>
      </c>
      <c r="G229" s="12">
        <v>41.77</v>
      </c>
      <c r="H229" s="11" t="s">
        <v>59</v>
      </c>
      <c r="I229" s="23"/>
      <c r="J229" s="2" t="s">
        <v>359</v>
      </c>
      <c r="K229" s="36" t="s">
        <v>25</v>
      </c>
      <c r="L229" s="11" t="s">
        <v>44</v>
      </c>
      <c r="N229" s="2" t="s">
        <v>362</v>
      </c>
      <c r="O229" s="2" t="s">
        <v>363</v>
      </c>
      <c r="R229" s="11" t="s">
        <v>45</v>
      </c>
      <c r="S229" s="11" t="s">
        <v>357</v>
      </c>
      <c r="V229" s="37" t="s">
        <v>347</v>
      </c>
    </row>
    <row r="230" s="2" customFormat="1" ht="15.75" spans="2:22">
      <c r="B230" s="9">
        <v>231</v>
      </c>
      <c r="C230" s="2">
        <v>229</v>
      </c>
      <c r="D230" s="10" t="s">
        <v>364</v>
      </c>
      <c r="E230" s="11">
        <v>152</v>
      </c>
      <c r="F230" s="11">
        <v>170</v>
      </c>
      <c r="G230" s="12">
        <v>35</v>
      </c>
      <c r="H230" s="11">
        <v>1</v>
      </c>
      <c r="I230" s="23"/>
      <c r="J230" s="2" t="s">
        <v>365</v>
      </c>
      <c r="K230" s="11" t="s">
        <v>34</v>
      </c>
      <c r="L230" s="11">
        <v>1</v>
      </c>
      <c r="R230" s="11" t="s">
        <v>56</v>
      </c>
      <c r="S230" s="11"/>
      <c r="V230" s="37" t="s">
        <v>366</v>
      </c>
    </row>
    <row r="231" s="2" customFormat="1" ht="15.75" spans="2:22">
      <c r="B231" s="9">
        <v>232</v>
      </c>
      <c r="C231" s="2">
        <v>230</v>
      </c>
      <c r="D231" s="10" t="s">
        <v>367</v>
      </c>
      <c r="E231" s="11">
        <v>180</v>
      </c>
      <c r="F231" s="11">
        <v>215</v>
      </c>
      <c r="G231" s="12">
        <v>33</v>
      </c>
      <c r="H231" s="11">
        <v>1</v>
      </c>
      <c r="I231" s="23"/>
      <c r="J231" s="2" t="s">
        <v>368</v>
      </c>
      <c r="K231" s="11" t="s">
        <v>34</v>
      </c>
      <c r="L231" s="11">
        <v>1</v>
      </c>
      <c r="R231" s="11" t="s">
        <v>56</v>
      </c>
      <c r="S231" s="11"/>
      <c r="V231" s="37" t="s">
        <v>366</v>
      </c>
    </row>
    <row r="232" s="2" customFormat="1" ht="15.75" spans="2:22">
      <c r="B232" s="9">
        <v>233</v>
      </c>
      <c r="C232" s="2">
        <v>231</v>
      </c>
      <c r="D232" s="10" t="s">
        <v>369</v>
      </c>
      <c r="E232" s="11">
        <v>195</v>
      </c>
      <c r="F232" s="11">
        <v>225</v>
      </c>
      <c r="G232" s="12">
        <v>31</v>
      </c>
      <c r="H232" s="11">
        <v>1</v>
      </c>
      <c r="I232" s="23"/>
      <c r="J232" s="2" t="s">
        <v>368</v>
      </c>
      <c r="K232" s="11" t="s">
        <v>34</v>
      </c>
      <c r="L232" s="11">
        <v>1</v>
      </c>
      <c r="R232" s="11" t="s">
        <v>56</v>
      </c>
      <c r="S232" s="11"/>
      <c r="V232" s="37" t="s">
        <v>366</v>
      </c>
    </row>
    <row r="233" s="2" customFormat="1" ht="15.75" spans="2:22">
      <c r="B233" s="9">
        <v>234</v>
      </c>
      <c r="C233" s="2">
        <v>232</v>
      </c>
      <c r="D233" s="10" t="s">
        <v>370</v>
      </c>
      <c r="E233" s="11">
        <v>160</v>
      </c>
      <c r="F233" s="11">
        <v>205</v>
      </c>
      <c r="G233" s="12">
        <v>23</v>
      </c>
      <c r="H233" s="11">
        <v>1</v>
      </c>
      <c r="I233" s="23"/>
      <c r="J233" s="2" t="s">
        <v>368</v>
      </c>
      <c r="K233" s="11" t="s">
        <v>34</v>
      </c>
      <c r="L233" s="11">
        <v>1</v>
      </c>
      <c r="R233" s="11" t="s">
        <v>56</v>
      </c>
      <c r="S233" s="11"/>
      <c r="V233" s="37" t="s">
        <v>366</v>
      </c>
    </row>
    <row r="234" s="2" customFormat="1" ht="15.75" spans="2:22">
      <c r="B234" s="9">
        <v>235</v>
      </c>
      <c r="C234" s="2">
        <v>233</v>
      </c>
      <c r="D234" s="10" t="s">
        <v>371</v>
      </c>
      <c r="E234" s="11">
        <v>125</v>
      </c>
      <c r="F234" s="11">
        <v>180</v>
      </c>
      <c r="G234" s="12">
        <v>60</v>
      </c>
      <c r="H234" s="11">
        <v>1</v>
      </c>
      <c r="I234" s="23"/>
      <c r="J234" s="2" t="s">
        <v>372</v>
      </c>
      <c r="K234" s="36" t="s">
        <v>25</v>
      </c>
      <c r="L234" s="11">
        <v>1</v>
      </c>
      <c r="R234" s="11" t="s">
        <v>45</v>
      </c>
      <c r="S234" s="11" t="s">
        <v>312</v>
      </c>
      <c r="V234" s="37" t="s">
        <v>366</v>
      </c>
    </row>
    <row r="235" s="2" customFormat="1" ht="15.75" spans="2:22">
      <c r="B235" s="9">
        <v>236</v>
      </c>
      <c r="C235" s="2">
        <v>234</v>
      </c>
      <c r="D235" s="10" t="s">
        <v>367</v>
      </c>
      <c r="E235" s="11">
        <v>125</v>
      </c>
      <c r="F235" s="11">
        <v>200</v>
      </c>
      <c r="G235" s="12">
        <v>36</v>
      </c>
      <c r="H235" s="11">
        <v>1</v>
      </c>
      <c r="I235" s="23"/>
      <c r="J235" s="2" t="s">
        <v>373</v>
      </c>
      <c r="K235" s="36" t="s">
        <v>25</v>
      </c>
      <c r="L235" s="11">
        <v>1</v>
      </c>
      <c r="R235" s="11" t="s">
        <v>45</v>
      </c>
      <c r="S235" s="11" t="s">
        <v>312</v>
      </c>
      <c r="V235" s="37" t="s">
        <v>366</v>
      </c>
    </row>
    <row r="236" s="2" customFormat="1" ht="15.75" spans="2:22">
      <c r="B236" s="9">
        <v>237</v>
      </c>
      <c r="C236" s="2">
        <v>235</v>
      </c>
      <c r="D236" s="10" t="s">
        <v>369</v>
      </c>
      <c r="E236" s="11">
        <v>175</v>
      </c>
      <c r="F236" s="11">
        <v>220</v>
      </c>
      <c r="G236" s="12">
        <v>40</v>
      </c>
      <c r="H236" s="11">
        <v>1</v>
      </c>
      <c r="I236" s="23"/>
      <c r="J236" s="2" t="s">
        <v>374</v>
      </c>
      <c r="K236" s="36" t="s">
        <v>25</v>
      </c>
      <c r="L236" s="11">
        <v>1</v>
      </c>
      <c r="R236" s="11" t="s">
        <v>45</v>
      </c>
      <c r="S236" s="11" t="s">
        <v>312</v>
      </c>
      <c r="V236" s="37" t="s">
        <v>366</v>
      </c>
    </row>
    <row r="237" s="2" customFormat="1" ht="15.75" spans="2:22">
      <c r="B237" s="9">
        <v>238</v>
      </c>
      <c r="C237" s="2">
        <v>236</v>
      </c>
      <c r="D237" s="10" t="s">
        <v>370</v>
      </c>
      <c r="E237" s="11">
        <v>225</v>
      </c>
      <c r="F237" s="11">
        <v>250</v>
      </c>
      <c r="G237" s="12">
        <v>55</v>
      </c>
      <c r="H237" s="11">
        <v>1</v>
      </c>
      <c r="I237" s="23"/>
      <c r="J237" s="2" t="s">
        <v>374</v>
      </c>
      <c r="K237" s="36" t="s">
        <v>25</v>
      </c>
      <c r="L237" s="11">
        <v>1</v>
      </c>
      <c r="R237" s="11" t="s">
        <v>45</v>
      </c>
      <c r="S237" s="11" t="s">
        <v>312</v>
      </c>
      <c r="V237" s="37" t="s">
        <v>366</v>
      </c>
    </row>
    <row r="238" s="2" customFormat="1" ht="15.75" spans="2:22">
      <c r="B238" s="9">
        <v>239</v>
      </c>
      <c r="C238" s="2">
        <v>237</v>
      </c>
      <c r="D238" s="10" t="s">
        <v>375</v>
      </c>
      <c r="E238" s="11">
        <v>180</v>
      </c>
      <c r="F238" s="11">
        <v>221</v>
      </c>
      <c r="G238" s="12">
        <v>31</v>
      </c>
      <c r="H238" s="11">
        <v>1</v>
      </c>
      <c r="I238" s="23"/>
      <c r="J238" s="2" t="s">
        <v>376</v>
      </c>
      <c r="K238" s="11" t="s">
        <v>34</v>
      </c>
      <c r="L238" s="11">
        <v>1</v>
      </c>
      <c r="R238" s="11" t="s">
        <v>56</v>
      </c>
      <c r="S238" s="11"/>
      <c r="V238" s="37" t="s">
        <v>366</v>
      </c>
    </row>
    <row r="239" s="2" customFormat="1" ht="15.75" spans="2:22">
      <c r="B239" s="9">
        <v>240</v>
      </c>
      <c r="C239" s="2">
        <v>238</v>
      </c>
      <c r="D239" s="10" t="s">
        <v>377</v>
      </c>
      <c r="E239" s="11">
        <v>173</v>
      </c>
      <c r="F239" s="11">
        <v>219</v>
      </c>
      <c r="G239" s="12">
        <v>28</v>
      </c>
      <c r="H239" s="11">
        <v>1</v>
      </c>
      <c r="I239" s="23"/>
      <c r="J239" s="2" t="s">
        <v>376</v>
      </c>
      <c r="K239" s="11" t="s">
        <v>34</v>
      </c>
      <c r="L239" s="11">
        <v>1</v>
      </c>
      <c r="R239" s="11" t="s">
        <v>56</v>
      </c>
      <c r="S239" s="11"/>
      <c r="V239" s="37" t="s">
        <v>366</v>
      </c>
    </row>
    <row r="240" s="2" customFormat="1" ht="15.75" spans="2:22">
      <c r="B240" s="9">
        <v>241</v>
      </c>
      <c r="C240" s="2">
        <v>239</v>
      </c>
      <c r="D240" s="10" t="s">
        <v>378</v>
      </c>
      <c r="E240" s="11">
        <v>153</v>
      </c>
      <c r="F240" s="11">
        <v>186</v>
      </c>
      <c r="G240" s="12">
        <v>27</v>
      </c>
      <c r="H240" s="11">
        <v>1</v>
      </c>
      <c r="I240" s="23"/>
      <c r="J240" s="2" t="s">
        <v>374</v>
      </c>
      <c r="K240" s="11" t="s">
        <v>34</v>
      </c>
      <c r="L240" s="11">
        <v>1</v>
      </c>
      <c r="R240" s="11" t="s">
        <v>56</v>
      </c>
      <c r="S240" s="11"/>
      <c r="V240" s="37" t="s">
        <v>366</v>
      </c>
    </row>
    <row r="241" s="2" customFormat="1" ht="15.75" spans="2:22">
      <c r="B241" s="9">
        <v>242</v>
      </c>
      <c r="C241" s="2">
        <v>240</v>
      </c>
      <c r="D241" s="10" t="s">
        <v>379</v>
      </c>
      <c r="E241" s="11">
        <v>179</v>
      </c>
      <c r="F241" s="11">
        <v>260</v>
      </c>
      <c r="G241" s="12">
        <v>40</v>
      </c>
      <c r="H241" s="11" t="s">
        <v>23</v>
      </c>
      <c r="I241" s="23"/>
      <c r="J241" s="2" t="s">
        <v>380</v>
      </c>
      <c r="K241" s="11" t="s">
        <v>34</v>
      </c>
      <c r="L241" s="11" t="s">
        <v>26</v>
      </c>
      <c r="R241" s="11" t="s">
        <v>56</v>
      </c>
      <c r="S241" s="11"/>
      <c r="V241" s="37" t="s">
        <v>381</v>
      </c>
    </row>
    <row r="242" s="2" customFormat="1" ht="15.75" spans="2:22">
      <c r="B242" s="9">
        <v>243</v>
      </c>
      <c r="C242" s="2">
        <v>241</v>
      </c>
      <c r="D242" s="10" t="s">
        <v>382</v>
      </c>
      <c r="E242" s="11">
        <v>158</v>
      </c>
      <c r="F242" s="11">
        <v>215</v>
      </c>
      <c r="G242" s="12">
        <v>40</v>
      </c>
      <c r="H242" s="11">
        <v>1</v>
      </c>
      <c r="I242" s="23"/>
      <c r="J242" s="2" t="s">
        <v>277</v>
      </c>
      <c r="K242" s="11" t="s">
        <v>34</v>
      </c>
      <c r="L242" s="11">
        <v>1</v>
      </c>
      <c r="R242" s="11" t="s">
        <v>56</v>
      </c>
      <c r="S242" s="11"/>
      <c r="V242" s="37" t="s">
        <v>381</v>
      </c>
    </row>
    <row r="243" s="2" customFormat="1" ht="15.75" spans="2:22">
      <c r="B243" s="9">
        <v>244</v>
      </c>
      <c r="C243" s="2">
        <v>242</v>
      </c>
      <c r="D243" s="10" t="s">
        <v>383</v>
      </c>
      <c r="E243" s="11">
        <v>181</v>
      </c>
      <c r="F243" s="11">
        <v>272</v>
      </c>
      <c r="G243" s="12">
        <v>20</v>
      </c>
      <c r="H243" s="11">
        <v>1</v>
      </c>
      <c r="I243" s="23"/>
      <c r="J243" s="2" t="s">
        <v>374</v>
      </c>
      <c r="K243" s="11" t="s">
        <v>34</v>
      </c>
      <c r="L243" s="11">
        <v>1</v>
      </c>
      <c r="R243" s="11" t="s">
        <v>56</v>
      </c>
      <c r="S243" s="11"/>
      <c r="V243" s="37" t="s">
        <v>381</v>
      </c>
    </row>
    <row r="244" s="2" customFormat="1" ht="15.75" spans="2:22">
      <c r="B244" s="9">
        <v>245</v>
      </c>
      <c r="C244" s="2">
        <v>243</v>
      </c>
      <c r="D244" s="10" t="s">
        <v>384</v>
      </c>
      <c r="E244" s="11">
        <v>152</v>
      </c>
      <c r="F244" s="11">
        <v>256</v>
      </c>
      <c r="G244" s="12">
        <v>25</v>
      </c>
      <c r="H244" s="11">
        <v>1</v>
      </c>
      <c r="I244" s="23"/>
      <c r="J244" s="2" t="s">
        <v>374</v>
      </c>
      <c r="K244" s="11" t="s">
        <v>34</v>
      </c>
      <c r="L244" s="11">
        <v>1</v>
      </c>
      <c r="R244" s="11" t="s">
        <v>56</v>
      </c>
      <c r="S244" s="11"/>
      <c r="V244" s="37" t="s">
        <v>381</v>
      </c>
    </row>
    <row r="245" s="2" customFormat="1" ht="15.75" spans="2:22">
      <c r="B245" s="9">
        <v>246</v>
      </c>
      <c r="C245" s="2">
        <v>244</v>
      </c>
      <c r="D245" s="10" t="s">
        <v>385</v>
      </c>
      <c r="E245" s="11">
        <v>163</v>
      </c>
      <c r="F245" s="11">
        <v>264</v>
      </c>
      <c r="G245" s="12">
        <v>25</v>
      </c>
      <c r="H245" s="11">
        <v>1</v>
      </c>
      <c r="I245" s="23"/>
      <c r="J245" s="2" t="s">
        <v>376</v>
      </c>
      <c r="K245" s="11" t="s">
        <v>34</v>
      </c>
      <c r="L245" s="11">
        <v>1</v>
      </c>
      <c r="R245" s="11" t="s">
        <v>56</v>
      </c>
      <c r="S245" s="11"/>
      <c r="V245" s="37" t="s">
        <v>381</v>
      </c>
    </row>
    <row r="246" s="2" customFormat="1" ht="15.75" spans="2:22">
      <c r="B246" s="9">
        <v>247</v>
      </c>
      <c r="C246" s="2">
        <v>245</v>
      </c>
      <c r="D246" s="10" t="s">
        <v>386</v>
      </c>
      <c r="E246" s="11">
        <v>158</v>
      </c>
      <c r="F246" s="11">
        <v>259</v>
      </c>
      <c r="G246" s="12">
        <v>40</v>
      </c>
      <c r="H246" s="11">
        <v>1</v>
      </c>
      <c r="I246" s="23"/>
      <c r="J246" s="2" t="s">
        <v>277</v>
      </c>
      <c r="K246" s="11" t="s">
        <v>34</v>
      </c>
      <c r="L246" s="11">
        <v>1</v>
      </c>
      <c r="R246" s="11" t="s">
        <v>56</v>
      </c>
      <c r="S246" s="11"/>
      <c r="V246" s="37" t="s">
        <v>381</v>
      </c>
    </row>
    <row r="247" s="2" customFormat="1" ht="15.75" spans="2:22">
      <c r="B247" s="9">
        <v>248</v>
      </c>
      <c r="C247" s="2">
        <v>246</v>
      </c>
      <c r="D247" s="10" t="s">
        <v>379</v>
      </c>
      <c r="E247" s="11">
        <v>166</v>
      </c>
      <c r="F247" s="11">
        <v>283</v>
      </c>
      <c r="G247" s="12">
        <v>56</v>
      </c>
      <c r="H247" s="11">
        <v>1</v>
      </c>
      <c r="I247" s="23"/>
      <c r="J247" s="2" t="s">
        <v>387</v>
      </c>
      <c r="K247" s="11" t="s">
        <v>60</v>
      </c>
      <c r="L247" s="11">
        <v>1</v>
      </c>
      <c r="O247" s="2" t="s">
        <v>388</v>
      </c>
      <c r="R247" s="11" t="s">
        <v>35</v>
      </c>
      <c r="S247" s="11" t="s">
        <v>389</v>
      </c>
      <c r="V247" s="37" t="s">
        <v>381</v>
      </c>
    </row>
    <row r="248" s="2" customFormat="1" ht="15.75" spans="2:22">
      <c r="B248" s="9">
        <v>249</v>
      </c>
      <c r="C248" s="2">
        <v>247</v>
      </c>
      <c r="D248" s="10" t="s">
        <v>382</v>
      </c>
      <c r="E248" s="11">
        <v>147</v>
      </c>
      <c r="F248" s="11">
        <v>222</v>
      </c>
      <c r="G248" s="12">
        <v>52</v>
      </c>
      <c r="H248" s="11">
        <v>1</v>
      </c>
      <c r="I248" s="23"/>
      <c r="J248" s="2" t="s">
        <v>390</v>
      </c>
      <c r="K248" s="11" t="s">
        <v>34</v>
      </c>
      <c r="L248" s="11">
        <v>1</v>
      </c>
      <c r="O248" s="2" t="s">
        <v>388</v>
      </c>
      <c r="R248" s="11" t="s">
        <v>35</v>
      </c>
      <c r="S248" s="11" t="s">
        <v>389</v>
      </c>
      <c r="V248" s="37" t="s">
        <v>381</v>
      </c>
    </row>
    <row r="249" s="2" customFormat="1" ht="15.75" spans="2:22">
      <c r="B249" s="9">
        <v>250</v>
      </c>
      <c r="C249" s="2">
        <v>248</v>
      </c>
      <c r="D249" s="10" t="s">
        <v>383</v>
      </c>
      <c r="E249" s="11">
        <v>155</v>
      </c>
      <c r="F249" s="11">
        <v>296</v>
      </c>
      <c r="G249" s="12">
        <v>66</v>
      </c>
      <c r="H249" s="11">
        <v>1</v>
      </c>
      <c r="I249" s="23"/>
      <c r="J249" s="2" t="s">
        <v>387</v>
      </c>
      <c r="K249" s="11" t="s">
        <v>34</v>
      </c>
      <c r="L249" s="11">
        <v>1</v>
      </c>
      <c r="O249" s="2" t="s">
        <v>391</v>
      </c>
      <c r="R249" s="11" t="s">
        <v>35</v>
      </c>
      <c r="S249" s="11" t="s">
        <v>389</v>
      </c>
      <c r="V249" s="37" t="s">
        <v>381</v>
      </c>
    </row>
    <row r="250" s="2" customFormat="1" ht="15.75" spans="2:22">
      <c r="B250" s="9">
        <v>251</v>
      </c>
      <c r="C250" s="2">
        <v>249</v>
      </c>
      <c r="D250" s="10" t="s">
        <v>392</v>
      </c>
      <c r="E250" s="11">
        <v>140</v>
      </c>
      <c r="F250" s="11">
        <v>260</v>
      </c>
      <c r="G250" s="12">
        <v>59</v>
      </c>
      <c r="H250" s="11">
        <v>1</v>
      </c>
      <c r="I250" s="23"/>
      <c r="J250" s="2" t="s">
        <v>387</v>
      </c>
      <c r="K250" s="11" t="s">
        <v>60</v>
      </c>
      <c r="L250" s="11">
        <v>1</v>
      </c>
      <c r="O250" s="2" t="s">
        <v>388</v>
      </c>
      <c r="R250" s="11" t="s">
        <v>35</v>
      </c>
      <c r="S250" s="11" t="s">
        <v>389</v>
      </c>
      <c r="V250" s="37" t="s">
        <v>381</v>
      </c>
    </row>
    <row r="251" s="2" customFormat="1" ht="15.75" spans="2:22">
      <c r="B251" s="9">
        <v>252</v>
      </c>
      <c r="C251" s="2">
        <v>250</v>
      </c>
      <c r="D251" s="10" t="s">
        <v>385</v>
      </c>
      <c r="E251" s="11">
        <v>144</v>
      </c>
      <c r="F251" s="11">
        <v>299</v>
      </c>
      <c r="G251" s="12">
        <v>56</v>
      </c>
      <c r="H251" s="11">
        <v>1</v>
      </c>
      <c r="I251" s="23"/>
      <c r="J251" s="2" t="s">
        <v>387</v>
      </c>
      <c r="K251" s="11" t="s">
        <v>60</v>
      </c>
      <c r="L251" s="11">
        <v>1</v>
      </c>
      <c r="R251" s="11" t="s">
        <v>35</v>
      </c>
      <c r="S251" s="11" t="s">
        <v>389</v>
      </c>
      <c r="V251" s="37" t="s">
        <v>381</v>
      </c>
    </row>
    <row r="252" s="2" customFormat="1" ht="15.75" spans="2:22">
      <c r="B252" s="9">
        <v>253</v>
      </c>
      <c r="C252" s="2">
        <v>251</v>
      </c>
      <c r="D252" s="10" t="s">
        <v>386</v>
      </c>
      <c r="E252" s="11">
        <v>147</v>
      </c>
      <c r="F252" s="11">
        <v>287</v>
      </c>
      <c r="G252" s="12">
        <v>59</v>
      </c>
      <c r="H252" s="11">
        <v>1</v>
      </c>
      <c r="I252" s="23"/>
      <c r="J252" s="2" t="s">
        <v>387</v>
      </c>
      <c r="K252" s="11" t="s">
        <v>60</v>
      </c>
      <c r="L252" s="11">
        <v>1</v>
      </c>
      <c r="R252" s="11" t="s">
        <v>35</v>
      </c>
      <c r="S252" s="11" t="s">
        <v>389</v>
      </c>
      <c r="V252" s="37" t="s">
        <v>381</v>
      </c>
    </row>
    <row r="253" s="2" customFormat="1" ht="15.75" spans="2:22">
      <c r="B253" s="9">
        <v>254</v>
      </c>
      <c r="C253" s="2">
        <v>252</v>
      </c>
      <c r="D253" s="10" t="s">
        <v>393</v>
      </c>
      <c r="E253" s="11">
        <v>246</v>
      </c>
      <c r="F253" s="11">
        <v>293</v>
      </c>
      <c r="G253" s="12">
        <v>73</v>
      </c>
      <c r="H253" s="11" t="s">
        <v>77</v>
      </c>
      <c r="I253" s="23">
        <v>0.18</v>
      </c>
      <c r="K253" s="11" t="s">
        <v>60</v>
      </c>
      <c r="L253" s="11" t="s">
        <v>78</v>
      </c>
      <c r="R253" s="11" t="s">
        <v>45</v>
      </c>
      <c r="S253" s="11" t="s">
        <v>394</v>
      </c>
      <c r="V253" s="37" t="s">
        <v>381</v>
      </c>
    </row>
    <row r="254" s="2" customFormat="1" ht="15.75" spans="2:22">
      <c r="B254" s="9">
        <v>255</v>
      </c>
      <c r="C254" s="2">
        <v>253</v>
      </c>
      <c r="D254" s="10" t="s">
        <v>382</v>
      </c>
      <c r="E254" s="11">
        <v>238</v>
      </c>
      <c r="F254" s="11">
        <v>278</v>
      </c>
      <c r="G254" s="12">
        <v>51</v>
      </c>
      <c r="H254" s="11" t="s">
        <v>77</v>
      </c>
      <c r="I254" s="23">
        <v>0.19</v>
      </c>
      <c r="K254" s="11" t="s">
        <v>60</v>
      </c>
      <c r="L254" s="11" t="s">
        <v>78</v>
      </c>
      <c r="R254" s="11" t="s">
        <v>45</v>
      </c>
      <c r="S254" s="11" t="s">
        <v>394</v>
      </c>
      <c r="V254" s="37" t="s">
        <v>381</v>
      </c>
    </row>
    <row r="255" s="2" customFormat="1" ht="15.75" spans="2:22">
      <c r="B255" s="9">
        <v>256</v>
      </c>
      <c r="C255" s="2">
        <v>254</v>
      </c>
      <c r="D255" s="10" t="s">
        <v>383</v>
      </c>
      <c r="E255" s="11">
        <v>271</v>
      </c>
      <c r="F255" s="11">
        <v>414</v>
      </c>
      <c r="G255" s="12">
        <v>76</v>
      </c>
      <c r="H255" s="11" t="s">
        <v>59</v>
      </c>
      <c r="I255" s="23" t="s">
        <v>395</v>
      </c>
      <c r="K255" s="11" t="s">
        <v>60</v>
      </c>
      <c r="L255" s="11" t="s">
        <v>44</v>
      </c>
      <c r="R255" s="11" t="s">
        <v>45</v>
      </c>
      <c r="S255" s="11" t="s">
        <v>394</v>
      </c>
      <c r="V255" s="37" t="s">
        <v>381</v>
      </c>
    </row>
    <row r="256" s="2" customFormat="1" ht="15.75" spans="2:22">
      <c r="B256" s="9">
        <v>257</v>
      </c>
      <c r="C256" s="2">
        <v>255</v>
      </c>
      <c r="D256" s="10" t="s">
        <v>392</v>
      </c>
      <c r="E256" s="11">
        <v>217</v>
      </c>
      <c r="F256" s="11">
        <v>309</v>
      </c>
      <c r="G256" s="12">
        <v>72</v>
      </c>
      <c r="H256" s="11" t="s">
        <v>59</v>
      </c>
      <c r="I256" s="23" t="s">
        <v>396</v>
      </c>
      <c r="K256" s="11" t="s">
        <v>60</v>
      </c>
      <c r="L256" s="11" t="s">
        <v>44</v>
      </c>
      <c r="R256" s="11" t="s">
        <v>45</v>
      </c>
      <c r="S256" s="11" t="s">
        <v>394</v>
      </c>
      <c r="V256" s="37" t="s">
        <v>381</v>
      </c>
    </row>
    <row r="257" s="2" customFormat="1" ht="15.75" spans="2:22">
      <c r="B257" s="9">
        <v>258</v>
      </c>
      <c r="C257" s="2">
        <v>256</v>
      </c>
      <c r="D257" s="10" t="s">
        <v>385</v>
      </c>
      <c r="E257" s="11">
        <v>260</v>
      </c>
      <c r="F257" s="11">
        <v>402</v>
      </c>
      <c r="G257" s="12">
        <v>59</v>
      </c>
      <c r="H257" s="11" t="s">
        <v>23</v>
      </c>
      <c r="I257" s="23" t="s">
        <v>397</v>
      </c>
      <c r="K257" s="11" t="s">
        <v>60</v>
      </c>
      <c r="L257" s="11" t="s">
        <v>26</v>
      </c>
      <c r="R257" s="11" t="s">
        <v>45</v>
      </c>
      <c r="S257" s="11" t="s">
        <v>394</v>
      </c>
      <c r="V257" s="37" t="s">
        <v>381</v>
      </c>
    </row>
    <row r="258" s="2" customFormat="1" ht="15.75" spans="2:22">
      <c r="B258" s="9">
        <v>259</v>
      </c>
      <c r="C258" s="2">
        <v>257</v>
      </c>
      <c r="D258" s="10" t="s">
        <v>386</v>
      </c>
      <c r="E258" s="11">
        <v>256</v>
      </c>
      <c r="F258" s="11">
        <v>359</v>
      </c>
      <c r="G258" s="12">
        <v>63</v>
      </c>
      <c r="H258" s="11" t="s">
        <v>23</v>
      </c>
      <c r="I258" s="23" t="s">
        <v>398</v>
      </c>
      <c r="K258" s="11" t="s">
        <v>60</v>
      </c>
      <c r="L258" s="11" t="s">
        <v>26</v>
      </c>
      <c r="R258" s="11" t="s">
        <v>45</v>
      </c>
      <c r="S258" s="11" t="s">
        <v>394</v>
      </c>
      <c r="V258" s="37" t="s">
        <v>381</v>
      </c>
    </row>
    <row r="259" s="2" customFormat="1" ht="15.75" spans="2:22">
      <c r="B259" s="9">
        <v>260</v>
      </c>
      <c r="C259" s="2">
        <v>258</v>
      </c>
      <c r="D259" s="10" t="s">
        <v>399</v>
      </c>
      <c r="E259" s="11">
        <v>169</v>
      </c>
      <c r="F259" s="11">
        <v>251</v>
      </c>
      <c r="G259" s="12">
        <v>40</v>
      </c>
      <c r="H259" s="11">
        <v>1</v>
      </c>
      <c r="I259" s="23" t="s">
        <v>400</v>
      </c>
      <c r="K259" s="11" t="s">
        <v>34</v>
      </c>
      <c r="L259" s="11">
        <v>1</v>
      </c>
      <c r="R259" s="11" t="s">
        <v>56</v>
      </c>
      <c r="S259" s="11"/>
      <c r="V259" s="37" t="s">
        <v>401</v>
      </c>
    </row>
    <row r="260" s="2" customFormat="1" ht="15.75" spans="2:22">
      <c r="B260" s="9">
        <v>261</v>
      </c>
      <c r="C260" s="2">
        <v>259</v>
      </c>
      <c r="D260" s="10" t="s">
        <v>402</v>
      </c>
      <c r="E260" s="11">
        <v>184</v>
      </c>
      <c r="F260" s="11">
        <v>277</v>
      </c>
      <c r="G260" s="12">
        <v>29</v>
      </c>
      <c r="H260" s="11">
        <v>1</v>
      </c>
      <c r="I260" s="23" t="s">
        <v>403</v>
      </c>
      <c r="K260" s="11" t="s">
        <v>34</v>
      </c>
      <c r="L260" s="11">
        <v>1</v>
      </c>
      <c r="R260" s="11" t="s">
        <v>56</v>
      </c>
      <c r="S260" s="11"/>
      <c r="V260" s="37" t="s">
        <v>401</v>
      </c>
    </row>
    <row r="261" s="2" customFormat="1" ht="15.75" spans="2:22">
      <c r="B261" s="9">
        <v>262</v>
      </c>
      <c r="C261" s="2">
        <v>260</v>
      </c>
      <c r="D261" s="10" t="s">
        <v>404</v>
      </c>
      <c r="E261" s="11">
        <v>132</v>
      </c>
      <c r="F261" s="11">
        <v>238</v>
      </c>
      <c r="G261" s="12">
        <v>157</v>
      </c>
      <c r="H261" s="11">
        <v>0</v>
      </c>
      <c r="I261" s="23"/>
      <c r="K261" s="11">
        <v>0</v>
      </c>
      <c r="L261" s="11">
        <v>0</v>
      </c>
      <c r="R261" s="11" t="s">
        <v>35</v>
      </c>
      <c r="S261" s="11" t="s">
        <v>405</v>
      </c>
      <c r="V261" s="37" t="s">
        <v>401</v>
      </c>
    </row>
    <row r="262" s="2" customFormat="1" ht="15.75" spans="2:22">
      <c r="B262" s="9">
        <v>263</v>
      </c>
      <c r="C262" s="2">
        <v>261</v>
      </c>
      <c r="D262" s="10" t="s">
        <v>406</v>
      </c>
      <c r="E262" s="11">
        <v>176</v>
      </c>
      <c r="F262" s="11">
        <v>303</v>
      </c>
      <c r="G262" s="12">
        <v>40</v>
      </c>
      <c r="H262" s="11" t="s">
        <v>190</v>
      </c>
      <c r="I262" s="23" t="s">
        <v>407</v>
      </c>
      <c r="J262" s="2" t="s">
        <v>408</v>
      </c>
      <c r="K262" s="36" t="s">
        <v>25</v>
      </c>
      <c r="L262" s="11" t="s">
        <v>275</v>
      </c>
      <c r="R262" s="11" t="s">
        <v>35</v>
      </c>
      <c r="S262" s="11" t="s">
        <v>405</v>
      </c>
      <c r="V262" s="37" t="s">
        <v>401</v>
      </c>
    </row>
    <row r="263" s="2" customFormat="1" ht="15.75" spans="2:22">
      <c r="B263" s="9">
        <v>264</v>
      </c>
      <c r="C263" s="2">
        <v>262</v>
      </c>
      <c r="D263" s="10" t="s">
        <v>404</v>
      </c>
      <c r="E263" s="11">
        <v>232</v>
      </c>
      <c r="F263" s="11">
        <v>296</v>
      </c>
      <c r="G263" s="12">
        <v>157</v>
      </c>
      <c r="H263" s="11" t="s">
        <v>77</v>
      </c>
      <c r="I263" s="23"/>
      <c r="K263" s="11" t="s">
        <v>60</v>
      </c>
      <c r="L263" s="11" t="s">
        <v>78</v>
      </c>
      <c r="O263" s="2" t="s">
        <v>409</v>
      </c>
      <c r="R263" s="11" t="s">
        <v>45</v>
      </c>
      <c r="S263" s="11" t="s">
        <v>410</v>
      </c>
      <c r="V263" s="37" t="s">
        <v>401</v>
      </c>
    </row>
    <row r="264" s="2" customFormat="1" ht="15.75" spans="2:22">
      <c r="B264" s="9">
        <v>265</v>
      </c>
      <c r="C264" s="2">
        <v>263</v>
      </c>
      <c r="D264" s="10" t="s">
        <v>402</v>
      </c>
      <c r="E264" s="11">
        <v>288</v>
      </c>
      <c r="F264" s="11">
        <v>405</v>
      </c>
      <c r="G264" s="12">
        <v>40</v>
      </c>
      <c r="H264" s="11" t="s">
        <v>136</v>
      </c>
      <c r="I264" s="23"/>
      <c r="K264" s="36" t="s">
        <v>25</v>
      </c>
      <c r="L264" s="11" t="s">
        <v>411</v>
      </c>
      <c r="N264" s="2" t="s">
        <v>412</v>
      </c>
      <c r="O264" s="2" t="s">
        <v>413</v>
      </c>
      <c r="R264" s="11" t="s">
        <v>45</v>
      </c>
      <c r="S264" s="11" t="s">
        <v>410</v>
      </c>
      <c r="V264" s="37" t="s">
        <v>401</v>
      </c>
    </row>
    <row r="265" s="2" customFormat="1" ht="15.75" spans="2:22">
      <c r="B265" s="9">
        <v>266</v>
      </c>
      <c r="C265" s="2">
        <v>264</v>
      </c>
      <c r="D265" s="10" t="s">
        <v>414</v>
      </c>
      <c r="E265" s="11">
        <v>168</v>
      </c>
      <c r="F265" s="11">
        <v>240</v>
      </c>
      <c r="G265" s="12">
        <v>48</v>
      </c>
      <c r="H265" s="11">
        <v>1</v>
      </c>
      <c r="I265" s="23"/>
      <c r="K265" s="11" t="s">
        <v>34</v>
      </c>
      <c r="L265" s="11">
        <v>1</v>
      </c>
      <c r="R265" s="11" t="s">
        <v>56</v>
      </c>
      <c r="S265" s="11"/>
      <c r="V265" s="37" t="s">
        <v>401</v>
      </c>
    </row>
    <row r="266" s="2" customFormat="1" ht="15.75" spans="2:22">
      <c r="B266" s="9">
        <v>267</v>
      </c>
      <c r="C266" s="2">
        <v>265</v>
      </c>
      <c r="D266" s="10" t="s">
        <v>415</v>
      </c>
      <c r="E266" s="11">
        <v>186</v>
      </c>
      <c r="F266" s="11">
        <v>240</v>
      </c>
      <c r="G266" s="12">
        <v>46</v>
      </c>
      <c r="H266" s="11">
        <v>1</v>
      </c>
      <c r="I266" s="23"/>
      <c r="K266" s="11" t="s">
        <v>34</v>
      </c>
      <c r="L266" s="11">
        <v>1</v>
      </c>
      <c r="R266" s="11" t="s">
        <v>56</v>
      </c>
      <c r="S266" s="11"/>
      <c r="V266" s="37" t="s">
        <v>401</v>
      </c>
    </row>
    <row r="267" s="2" customFormat="1" ht="15.75" spans="2:22">
      <c r="B267" s="9">
        <v>268</v>
      </c>
      <c r="C267" s="2">
        <v>266</v>
      </c>
      <c r="D267" s="10" t="s">
        <v>416</v>
      </c>
      <c r="E267" s="11">
        <v>133</v>
      </c>
      <c r="F267" s="11">
        <v>224</v>
      </c>
      <c r="G267" s="12">
        <v>110</v>
      </c>
      <c r="H267" s="11" t="s">
        <v>190</v>
      </c>
      <c r="I267" s="23" t="s">
        <v>417</v>
      </c>
      <c r="K267" s="36" t="s">
        <v>25</v>
      </c>
      <c r="L267" s="11" t="s">
        <v>275</v>
      </c>
      <c r="R267" s="11" t="s">
        <v>35</v>
      </c>
      <c r="S267" s="11" t="s">
        <v>405</v>
      </c>
      <c r="V267" s="37" t="s">
        <v>401</v>
      </c>
    </row>
    <row r="268" s="2" customFormat="1" ht="15.75" spans="2:22">
      <c r="B268" s="9">
        <v>269</v>
      </c>
      <c r="C268" s="2">
        <v>267</v>
      </c>
      <c r="D268" s="10" t="s">
        <v>418</v>
      </c>
      <c r="E268" s="11">
        <v>143</v>
      </c>
      <c r="F268" s="11">
        <v>271</v>
      </c>
      <c r="G268" s="12">
        <v>100</v>
      </c>
      <c r="H268" s="11" t="s">
        <v>23</v>
      </c>
      <c r="I268" s="23" t="s">
        <v>419</v>
      </c>
      <c r="K268" s="36" t="s">
        <v>25</v>
      </c>
      <c r="L268" s="11" t="s">
        <v>26</v>
      </c>
      <c r="R268" s="11" t="s">
        <v>35</v>
      </c>
      <c r="S268" s="11" t="s">
        <v>405</v>
      </c>
      <c r="V268" s="37" t="s">
        <v>401</v>
      </c>
    </row>
    <row r="269" s="2" customFormat="1" ht="15.75" spans="2:22">
      <c r="B269" s="9">
        <v>270</v>
      </c>
      <c r="C269" s="2">
        <v>268</v>
      </c>
      <c r="D269" s="10" t="s">
        <v>414</v>
      </c>
      <c r="E269" s="11">
        <v>232</v>
      </c>
      <c r="F269" s="11">
        <v>296</v>
      </c>
      <c r="G269" s="12">
        <v>110</v>
      </c>
      <c r="H269" s="11">
        <v>0</v>
      </c>
      <c r="I269" s="23"/>
      <c r="K269" s="11">
        <v>0</v>
      </c>
      <c r="L269" s="11">
        <v>0</v>
      </c>
      <c r="R269" s="11" t="s">
        <v>45</v>
      </c>
      <c r="S269" s="11" t="s">
        <v>410</v>
      </c>
      <c r="V269" s="37" t="s">
        <v>401</v>
      </c>
    </row>
    <row r="270" s="2" customFormat="1" ht="15.75" spans="2:22">
      <c r="B270" s="9">
        <v>271</v>
      </c>
      <c r="C270" s="2">
        <v>269</v>
      </c>
      <c r="D270" s="10" t="s">
        <v>418</v>
      </c>
      <c r="E270" s="11">
        <v>288</v>
      </c>
      <c r="F270" s="11">
        <v>405</v>
      </c>
      <c r="G270" s="12">
        <v>100</v>
      </c>
      <c r="H270" s="11">
        <v>0</v>
      </c>
      <c r="I270" s="23"/>
      <c r="K270" s="11">
        <v>0</v>
      </c>
      <c r="L270" s="11">
        <v>0</v>
      </c>
      <c r="R270" s="11" t="s">
        <v>45</v>
      </c>
      <c r="S270" s="11" t="s">
        <v>410</v>
      </c>
      <c r="V270" s="37" t="s">
        <v>401</v>
      </c>
    </row>
    <row r="271" s="2" customFormat="1" ht="15.75" spans="2:22">
      <c r="B271" s="9">
        <v>272</v>
      </c>
      <c r="C271" s="2">
        <v>270</v>
      </c>
      <c r="D271" s="10" t="s">
        <v>416</v>
      </c>
      <c r="E271" s="11">
        <v>274</v>
      </c>
      <c r="F271" s="11">
        <v>370</v>
      </c>
      <c r="G271" s="12">
        <v>7.1</v>
      </c>
      <c r="H271" s="11">
        <v>0</v>
      </c>
      <c r="I271" s="23"/>
      <c r="K271" s="11">
        <v>0</v>
      </c>
      <c r="L271" s="11">
        <v>0</v>
      </c>
      <c r="R271" s="11" t="s">
        <v>63</v>
      </c>
      <c r="S271" s="11"/>
      <c r="V271" s="37" t="s">
        <v>401</v>
      </c>
    </row>
    <row r="272" s="2" customFormat="1" ht="15.75" spans="2:22">
      <c r="B272" s="9">
        <v>273</v>
      </c>
      <c r="C272" s="2">
        <v>271</v>
      </c>
      <c r="D272" s="10" t="s">
        <v>402</v>
      </c>
      <c r="E272" s="11">
        <v>297</v>
      </c>
      <c r="F272" s="11">
        <v>368</v>
      </c>
      <c r="G272" s="12">
        <v>4.2</v>
      </c>
      <c r="H272" s="11">
        <v>0</v>
      </c>
      <c r="I272" s="23"/>
      <c r="K272" s="11">
        <v>0</v>
      </c>
      <c r="L272" s="11">
        <v>0</v>
      </c>
      <c r="R272" s="11" t="s">
        <v>63</v>
      </c>
      <c r="S272" s="11"/>
      <c r="V272" s="37" t="s">
        <v>401</v>
      </c>
    </row>
    <row r="273" s="2" customFormat="1" ht="15.75" spans="2:22">
      <c r="B273" s="9">
        <v>274</v>
      </c>
      <c r="C273" s="2">
        <v>272</v>
      </c>
      <c r="D273" s="10" t="s">
        <v>418</v>
      </c>
      <c r="E273" s="11">
        <v>263</v>
      </c>
      <c r="F273" s="11">
        <v>348</v>
      </c>
      <c r="G273" s="12">
        <v>12.9</v>
      </c>
      <c r="H273" s="11">
        <v>0</v>
      </c>
      <c r="I273" s="23"/>
      <c r="K273" s="11">
        <v>0</v>
      </c>
      <c r="L273" s="11">
        <v>0</v>
      </c>
      <c r="R273" s="11" t="s">
        <v>63</v>
      </c>
      <c r="S273" s="11"/>
      <c r="V273" s="37" t="s">
        <v>401</v>
      </c>
    </row>
    <row r="274" s="2" customFormat="1" ht="15.75" spans="2:22">
      <c r="B274" s="9">
        <v>275</v>
      </c>
      <c r="C274" s="2">
        <v>273</v>
      </c>
      <c r="D274" s="10" t="s">
        <v>416</v>
      </c>
      <c r="E274" s="11">
        <v>375</v>
      </c>
      <c r="F274" s="11">
        <v>458</v>
      </c>
      <c r="G274" s="12">
        <v>7.7</v>
      </c>
      <c r="H274" s="11">
        <v>0</v>
      </c>
      <c r="I274" s="23"/>
      <c r="K274" s="11">
        <v>0</v>
      </c>
      <c r="L274" s="11">
        <v>0</v>
      </c>
      <c r="R274" s="11" t="s">
        <v>67</v>
      </c>
      <c r="S274" s="11" t="s">
        <v>420</v>
      </c>
      <c r="V274" s="37" t="s">
        <v>401</v>
      </c>
    </row>
    <row r="275" s="2" customFormat="1" ht="15.75" spans="2:22">
      <c r="B275" s="9">
        <v>276</v>
      </c>
      <c r="C275" s="2">
        <v>274</v>
      </c>
      <c r="D275" s="10" t="s">
        <v>406</v>
      </c>
      <c r="E275" s="11">
        <v>379</v>
      </c>
      <c r="F275" s="11">
        <v>461</v>
      </c>
      <c r="G275" s="12">
        <v>4.5</v>
      </c>
      <c r="H275" s="11">
        <v>0</v>
      </c>
      <c r="I275" s="23"/>
      <c r="K275" s="11">
        <v>0</v>
      </c>
      <c r="L275" s="11">
        <v>0</v>
      </c>
      <c r="R275" s="11" t="s">
        <v>67</v>
      </c>
      <c r="S275" s="11" t="s">
        <v>420</v>
      </c>
      <c r="V275" s="37" t="s">
        <v>401</v>
      </c>
    </row>
    <row r="276" s="2" customFormat="1" ht="15.75" spans="2:22">
      <c r="B276" s="9">
        <v>277</v>
      </c>
      <c r="C276" s="2">
        <v>275</v>
      </c>
      <c r="D276" s="10" t="s">
        <v>415</v>
      </c>
      <c r="E276" s="11">
        <v>359</v>
      </c>
      <c r="F276" s="11">
        <v>455</v>
      </c>
      <c r="G276" s="12">
        <v>6.7</v>
      </c>
      <c r="H276" s="11">
        <v>0</v>
      </c>
      <c r="I276" s="23"/>
      <c r="K276" s="11">
        <v>0</v>
      </c>
      <c r="L276" s="11">
        <v>0</v>
      </c>
      <c r="R276" s="11" t="s">
        <v>67</v>
      </c>
      <c r="S276" s="11" t="s">
        <v>420</v>
      </c>
      <c r="V276" s="37" t="s">
        <v>401</v>
      </c>
    </row>
    <row r="277" s="2" customFormat="1" ht="15.75" spans="2:22">
      <c r="B277" s="9">
        <v>278</v>
      </c>
      <c r="C277" s="2">
        <v>276</v>
      </c>
      <c r="D277" s="10" t="s">
        <v>421</v>
      </c>
      <c r="E277" s="11">
        <v>169</v>
      </c>
      <c r="F277" s="11">
        <v>251</v>
      </c>
      <c r="G277" s="12">
        <v>37</v>
      </c>
      <c r="H277" s="11" t="s">
        <v>190</v>
      </c>
      <c r="I277" s="23"/>
      <c r="K277" s="36" t="s">
        <v>25</v>
      </c>
      <c r="L277" s="11" t="s">
        <v>275</v>
      </c>
      <c r="R277" s="11" t="s">
        <v>56</v>
      </c>
      <c r="S277" s="11"/>
      <c r="V277" s="37" t="s">
        <v>401</v>
      </c>
    </row>
    <row r="278" s="2" customFormat="1" ht="15.75" spans="2:22">
      <c r="B278" s="9">
        <v>279</v>
      </c>
      <c r="C278" s="2">
        <v>277</v>
      </c>
      <c r="D278" s="10" t="s">
        <v>422</v>
      </c>
      <c r="E278" s="11">
        <v>184</v>
      </c>
      <c r="F278" s="11">
        <v>277</v>
      </c>
      <c r="G278" s="12">
        <v>47</v>
      </c>
      <c r="H278" s="11" t="s">
        <v>190</v>
      </c>
      <c r="I278" s="23"/>
      <c r="K278" s="36" t="s">
        <v>25</v>
      </c>
      <c r="L278" s="11" t="s">
        <v>275</v>
      </c>
      <c r="R278" s="11" t="s">
        <v>56</v>
      </c>
      <c r="S278" s="11"/>
      <c r="V278" s="37" t="s">
        <v>401</v>
      </c>
    </row>
    <row r="279" s="2" customFormat="1" ht="15.75" spans="2:22">
      <c r="B279" s="9">
        <v>280</v>
      </c>
      <c r="C279" s="2">
        <v>278</v>
      </c>
      <c r="D279" s="10" t="s">
        <v>423</v>
      </c>
      <c r="E279" s="11">
        <v>132</v>
      </c>
      <c r="F279" s="11">
        <v>238</v>
      </c>
      <c r="G279" s="12">
        <v>38</v>
      </c>
      <c r="H279" s="11" t="s">
        <v>190</v>
      </c>
      <c r="I279" s="23"/>
      <c r="K279" s="36" t="s">
        <v>25</v>
      </c>
      <c r="L279" s="11" t="s">
        <v>275</v>
      </c>
      <c r="R279" s="11" t="s">
        <v>35</v>
      </c>
      <c r="S279" s="11" t="s">
        <v>405</v>
      </c>
      <c r="V279" s="37" t="s">
        <v>401</v>
      </c>
    </row>
    <row r="280" s="2" customFormat="1" ht="15.75" spans="2:22">
      <c r="B280" s="9">
        <v>281</v>
      </c>
      <c r="C280" s="2">
        <v>279</v>
      </c>
      <c r="D280" s="10" t="s">
        <v>424</v>
      </c>
      <c r="E280" s="11">
        <v>176</v>
      </c>
      <c r="F280" s="11">
        <v>303</v>
      </c>
      <c r="G280" s="12">
        <v>96</v>
      </c>
      <c r="H280" s="11" t="s">
        <v>23</v>
      </c>
      <c r="I280" s="23"/>
      <c r="K280" s="36" t="s">
        <v>25</v>
      </c>
      <c r="L280" s="11" t="s">
        <v>26</v>
      </c>
      <c r="R280" s="11" t="s">
        <v>35</v>
      </c>
      <c r="S280" s="11" t="s">
        <v>405</v>
      </c>
      <c r="V280" s="37" t="s">
        <v>401</v>
      </c>
    </row>
    <row r="281" s="2" customFormat="1" ht="15.75" spans="2:22">
      <c r="B281" s="9">
        <v>282</v>
      </c>
      <c r="C281" s="2">
        <v>280</v>
      </c>
      <c r="D281" s="10" t="s">
        <v>421</v>
      </c>
      <c r="E281" s="11">
        <v>297</v>
      </c>
      <c r="F281" s="11">
        <v>370</v>
      </c>
      <c r="G281" s="12">
        <v>3</v>
      </c>
      <c r="H281" s="11">
        <v>0</v>
      </c>
      <c r="I281" s="23"/>
      <c r="K281" s="11">
        <v>0</v>
      </c>
      <c r="L281" s="11">
        <v>0</v>
      </c>
      <c r="R281" s="11" t="s">
        <v>63</v>
      </c>
      <c r="S281" s="11"/>
      <c r="V281" s="37" t="s">
        <v>401</v>
      </c>
    </row>
    <row r="282" s="2" customFormat="1" ht="15.75" spans="2:22">
      <c r="B282" s="9">
        <v>283</v>
      </c>
      <c r="C282" s="2">
        <v>281</v>
      </c>
      <c r="D282" s="10" t="s">
        <v>424</v>
      </c>
      <c r="E282" s="11">
        <v>314</v>
      </c>
      <c r="F282" s="11">
        <v>398</v>
      </c>
      <c r="G282" s="12">
        <v>0.88</v>
      </c>
      <c r="H282" s="11">
        <v>0</v>
      </c>
      <c r="I282" s="23"/>
      <c r="K282" s="11">
        <v>0</v>
      </c>
      <c r="L282" s="11">
        <v>0</v>
      </c>
      <c r="R282" s="11" t="s">
        <v>63</v>
      </c>
      <c r="S282" s="11"/>
      <c r="V282" s="37" t="s">
        <v>401</v>
      </c>
    </row>
    <row r="283" s="2" customFormat="1" ht="15.75" spans="2:22">
      <c r="B283" s="9">
        <v>284</v>
      </c>
      <c r="C283" s="2">
        <v>282</v>
      </c>
      <c r="D283" s="10" t="s">
        <v>423</v>
      </c>
      <c r="E283" s="11">
        <v>377</v>
      </c>
      <c r="F283" s="11">
        <v>459</v>
      </c>
      <c r="G283" s="12">
        <v>3</v>
      </c>
      <c r="H283" s="11">
        <v>0</v>
      </c>
      <c r="I283" s="23"/>
      <c r="K283" s="11">
        <v>0</v>
      </c>
      <c r="L283" s="11">
        <v>0</v>
      </c>
      <c r="R283" s="11" t="s">
        <v>67</v>
      </c>
      <c r="S283" s="11" t="s">
        <v>420</v>
      </c>
      <c r="V283" s="37" t="s">
        <v>401</v>
      </c>
    </row>
    <row r="284" s="2" customFormat="1" ht="15.75" spans="2:22">
      <c r="B284" s="9">
        <v>285</v>
      </c>
      <c r="C284" s="2">
        <v>283</v>
      </c>
      <c r="D284" s="10" t="s">
        <v>424</v>
      </c>
      <c r="E284" s="11">
        <v>414</v>
      </c>
      <c r="F284" s="11">
        <v>511</v>
      </c>
      <c r="G284" s="12">
        <v>0.88</v>
      </c>
      <c r="H284" s="11">
        <v>0</v>
      </c>
      <c r="I284" s="23"/>
      <c r="K284" s="11">
        <v>0</v>
      </c>
      <c r="L284" s="11">
        <v>0</v>
      </c>
      <c r="R284" s="11" t="s">
        <v>67</v>
      </c>
      <c r="S284" s="11" t="s">
        <v>420</v>
      </c>
      <c r="V284" s="37" t="s">
        <v>401</v>
      </c>
    </row>
    <row r="285" s="2" customFormat="1" ht="15.75" spans="2:22">
      <c r="B285" s="9">
        <v>286</v>
      </c>
      <c r="C285" s="2">
        <v>284</v>
      </c>
      <c r="D285" s="10" t="s">
        <v>425</v>
      </c>
      <c r="E285" s="11">
        <v>133</v>
      </c>
      <c r="F285" s="11">
        <v>214</v>
      </c>
      <c r="G285" s="12">
        <v>110</v>
      </c>
      <c r="H285" s="11">
        <v>1</v>
      </c>
      <c r="I285" s="23"/>
      <c r="K285" s="11" t="s">
        <v>34</v>
      </c>
      <c r="L285" s="11">
        <v>1</v>
      </c>
      <c r="R285" s="11" t="s">
        <v>56</v>
      </c>
      <c r="S285" s="11"/>
      <c r="V285" s="37" t="s">
        <v>426</v>
      </c>
    </row>
    <row r="286" s="2" customFormat="1" ht="15.75" spans="2:22">
      <c r="B286" s="9">
        <v>287</v>
      </c>
      <c r="C286" s="2">
        <v>285</v>
      </c>
      <c r="D286" s="10" t="s">
        <v>427</v>
      </c>
      <c r="E286" s="11">
        <v>139</v>
      </c>
      <c r="F286" s="11">
        <v>229</v>
      </c>
      <c r="G286" s="12">
        <v>80</v>
      </c>
      <c r="H286" s="11">
        <v>1</v>
      </c>
      <c r="I286" s="23"/>
      <c r="K286" s="11" t="s">
        <v>34</v>
      </c>
      <c r="L286" s="11">
        <v>1</v>
      </c>
      <c r="R286" s="11" t="s">
        <v>56</v>
      </c>
      <c r="S286" s="11"/>
      <c r="V286" s="37" t="s">
        <v>426</v>
      </c>
    </row>
    <row r="287" s="2" customFormat="1" ht="15.75" spans="2:22">
      <c r="B287" s="9">
        <v>288</v>
      </c>
      <c r="C287" s="2">
        <v>286</v>
      </c>
      <c r="D287" s="10" t="s">
        <v>428</v>
      </c>
      <c r="E287" s="11">
        <v>149</v>
      </c>
      <c r="F287" s="11">
        <v>232</v>
      </c>
      <c r="G287" s="12">
        <v>110</v>
      </c>
      <c r="H287" s="11">
        <v>1</v>
      </c>
      <c r="I287" s="23"/>
      <c r="K287" s="11" t="s">
        <v>34</v>
      </c>
      <c r="L287" s="11">
        <v>1</v>
      </c>
      <c r="R287" s="11" t="s">
        <v>56</v>
      </c>
      <c r="S287" s="11"/>
      <c r="V287" s="37" t="s">
        <v>426</v>
      </c>
    </row>
    <row r="288" s="2" customFormat="1" ht="15.75" spans="2:22">
      <c r="B288" s="9">
        <v>289</v>
      </c>
      <c r="C288" s="2">
        <v>287</v>
      </c>
      <c r="D288" s="10" t="s">
        <v>429</v>
      </c>
      <c r="E288" s="11">
        <v>156</v>
      </c>
      <c r="F288" s="11">
        <v>226</v>
      </c>
      <c r="G288" s="12">
        <v>40</v>
      </c>
      <c r="H288" s="11">
        <v>1</v>
      </c>
      <c r="I288" s="23"/>
      <c r="K288" s="11" t="s">
        <v>34</v>
      </c>
      <c r="L288" s="11">
        <v>1</v>
      </c>
      <c r="R288" s="11" t="s">
        <v>56</v>
      </c>
      <c r="S288" s="11"/>
      <c r="V288" s="37" t="s">
        <v>426</v>
      </c>
    </row>
    <row r="289" s="2" customFormat="1" ht="15.75" spans="2:22">
      <c r="B289" s="9">
        <v>290</v>
      </c>
      <c r="C289" s="2">
        <v>288</v>
      </c>
      <c r="D289" s="10" t="s">
        <v>430</v>
      </c>
      <c r="E289" s="11">
        <v>153</v>
      </c>
      <c r="F289" s="11">
        <v>204</v>
      </c>
      <c r="G289" s="12">
        <v>80</v>
      </c>
      <c r="H289" s="11">
        <v>1</v>
      </c>
      <c r="I289" s="23"/>
      <c r="K289" s="36" t="s">
        <v>25</v>
      </c>
      <c r="L289" s="11">
        <v>1</v>
      </c>
      <c r="R289" s="11" t="s">
        <v>56</v>
      </c>
      <c r="S289" s="11"/>
      <c r="V289" s="37" t="s">
        <v>426</v>
      </c>
    </row>
    <row r="290" s="2" customFormat="1" ht="15.75" spans="2:22">
      <c r="B290" s="9">
        <v>291</v>
      </c>
      <c r="C290" s="2">
        <v>289</v>
      </c>
      <c r="D290" s="10" t="s">
        <v>431</v>
      </c>
      <c r="E290" s="11">
        <v>151</v>
      </c>
      <c r="F290" s="11">
        <v>197</v>
      </c>
      <c r="G290" s="12">
        <v>90</v>
      </c>
      <c r="H290" s="11" t="s">
        <v>190</v>
      </c>
      <c r="I290" s="23"/>
      <c r="K290" s="36" t="s">
        <v>25</v>
      </c>
      <c r="L290" s="11" t="s">
        <v>275</v>
      </c>
      <c r="R290" s="11" t="s">
        <v>56</v>
      </c>
      <c r="S290" s="11"/>
      <c r="V290" s="37" t="s">
        <v>426</v>
      </c>
    </row>
    <row r="291" s="2" customFormat="1" ht="15.75" spans="2:22">
      <c r="B291" s="9">
        <v>292</v>
      </c>
      <c r="C291" s="2">
        <v>290</v>
      </c>
      <c r="D291" s="10" t="s">
        <v>432</v>
      </c>
      <c r="E291" s="11">
        <v>162</v>
      </c>
      <c r="F291" s="11">
        <v>217</v>
      </c>
      <c r="G291" s="12">
        <v>60</v>
      </c>
      <c r="H291" s="11" t="s">
        <v>190</v>
      </c>
      <c r="I291" s="23"/>
      <c r="K291" s="36" t="s">
        <v>25</v>
      </c>
      <c r="L291" s="11" t="s">
        <v>275</v>
      </c>
      <c r="R291" s="11" t="s">
        <v>56</v>
      </c>
      <c r="S291" s="11"/>
      <c r="V291" s="37" t="s">
        <v>426</v>
      </c>
    </row>
    <row r="292" s="2" customFormat="1" ht="15.75" spans="2:22">
      <c r="B292" s="9">
        <v>293</v>
      </c>
      <c r="C292" s="2">
        <v>291</v>
      </c>
      <c r="D292" s="10" t="s">
        <v>433</v>
      </c>
      <c r="E292" s="11">
        <v>158</v>
      </c>
      <c r="F292" s="11">
        <v>193</v>
      </c>
      <c r="G292" s="12">
        <v>70</v>
      </c>
      <c r="H292" s="11">
        <v>0</v>
      </c>
      <c r="I292" s="23"/>
      <c r="K292" s="11">
        <v>0</v>
      </c>
      <c r="L292" s="11">
        <v>0</v>
      </c>
      <c r="R292" s="11" t="s">
        <v>56</v>
      </c>
      <c r="S292" s="11"/>
      <c r="V292" s="37" t="s">
        <v>426</v>
      </c>
    </row>
    <row r="293" s="2" customFormat="1" ht="15.75" spans="2:22">
      <c r="B293" s="9">
        <v>294</v>
      </c>
      <c r="C293" s="2">
        <v>292</v>
      </c>
      <c r="D293" s="10" t="s">
        <v>434</v>
      </c>
      <c r="E293" s="11">
        <v>171</v>
      </c>
      <c r="F293" s="11">
        <v>183</v>
      </c>
      <c r="G293" s="12">
        <v>90</v>
      </c>
      <c r="H293" s="11">
        <v>0</v>
      </c>
      <c r="I293" s="23"/>
      <c r="K293" s="11">
        <v>0</v>
      </c>
      <c r="L293" s="11">
        <v>0</v>
      </c>
      <c r="R293" s="11" t="s">
        <v>56</v>
      </c>
      <c r="S293" s="11"/>
      <c r="V293" s="37" t="s">
        <v>426</v>
      </c>
    </row>
    <row r="294" s="2" customFormat="1" ht="15.75" spans="2:22">
      <c r="B294" s="9">
        <v>295</v>
      </c>
      <c r="C294" s="2">
        <v>293</v>
      </c>
      <c r="D294" s="10" t="s">
        <v>435</v>
      </c>
      <c r="E294" s="11">
        <v>177</v>
      </c>
      <c r="F294" s="11">
        <v>254</v>
      </c>
      <c r="G294" s="12">
        <v>70</v>
      </c>
      <c r="H294" s="11">
        <v>0</v>
      </c>
      <c r="I294" s="23"/>
      <c r="K294" s="11">
        <v>0</v>
      </c>
      <c r="L294" s="11">
        <v>0</v>
      </c>
      <c r="R294" s="11" t="s">
        <v>56</v>
      </c>
      <c r="S294" s="11"/>
      <c r="V294" s="37" t="s">
        <v>426</v>
      </c>
    </row>
    <row r="295" s="2" customFormat="1" ht="15.75" spans="2:22">
      <c r="B295" s="9">
        <v>296</v>
      </c>
      <c r="C295" s="2">
        <v>294</v>
      </c>
      <c r="D295" s="10" t="s">
        <v>436</v>
      </c>
      <c r="E295" s="11">
        <v>171</v>
      </c>
      <c r="F295" s="11">
        <v>187</v>
      </c>
      <c r="G295" s="12">
        <v>80</v>
      </c>
      <c r="H295" s="11">
        <v>0</v>
      </c>
      <c r="I295" s="23"/>
      <c r="K295" s="11">
        <v>0</v>
      </c>
      <c r="L295" s="11">
        <v>0</v>
      </c>
      <c r="R295" s="11" t="s">
        <v>56</v>
      </c>
      <c r="S295" s="11"/>
      <c r="V295" s="37" t="s">
        <v>426</v>
      </c>
    </row>
    <row r="296" s="2" customFormat="1" ht="15.75" spans="2:22">
      <c r="B296" s="9">
        <v>297</v>
      </c>
      <c r="C296" s="2">
        <v>295</v>
      </c>
      <c r="D296" s="10" t="s">
        <v>437</v>
      </c>
      <c r="E296" s="11">
        <v>380</v>
      </c>
      <c r="F296" s="11">
        <v>322</v>
      </c>
      <c r="G296" s="12">
        <v>9</v>
      </c>
      <c r="H296" s="11">
        <v>0</v>
      </c>
      <c r="I296" s="23"/>
      <c r="K296" s="11">
        <v>0</v>
      </c>
      <c r="L296" s="11">
        <v>0</v>
      </c>
      <c r="R296" s="11" t="s">
        <v>438</v>
      </c>
      <c r="S296" s="11"/>
      <c r="V296" s="37" t="s">
        <v>439</v>
      </c>
    </row>
    <row r="297" s="2" customFormat="1" ht="15.75" spans="2:22">
      <c r="B297" s="9">
        <v>298</v>
      </c>
      <c r="C297" s="2">
        <v>296</v>
      </c>
      <c r="D297" s="10" t="s">
        <v>440</v>
      </c>
      <c r="E297" s="11">
        <v>368</v>
      </c>
      <c r="F297" s="11">
        <v>280</v>
      </c>
      <c r="G297" s="12">
        <v>5</v>
      </c>
      <c r="H297" s="11">
        <v>0</v>
      </c>
      <c r="I297" s="23"/>
      <c r="K297" s="11">
        <v>0</v>
      </c>
      <c r="L297" s="11">
        <v>0</v>
      </c>
      <c r="R297" s="11" t="s">
        <v>438</v>
      </c>
      <c r="S297" s="11"/>
      <c r="V297" s="37" t="s">
        <v>439</v>
      </c>
    </row>
    <row r="298" s="2" customFormat="1" ht="15.75" spans="2:22">
      <c r="B298" s="9">
        <v>299</v>
      </c>
      <c r="C298" s="2">
        <v>297</v>
      </c>
      <c r="D298" s="10" t="s">
        <v>441</v>
      </c>
      <c r="E298" s="11">
        <v>386</v>
      </c>
      <c r="F298" s="11">
        <v>313</v>
      </c>
      <c r="G298" s="12">
        <v>4</v>
      </c>
      <c r="H298" s="11">
        <v>0</v>
      </c>
      <c r="I298" s="23"/>
      <c r="K298" s="11">
        <v>0</v>
      </c>
      <c r="L298" s="11">
        <v>0</v>
      </c>
      <c r="R298" s="11" t="s">
        <v>438</v>
      </c>
      <c r="S298" s="11"/>
      <c r="V298" s="37" t="s">
        <v>439</v>
      </c>
    </row>
    <row r="299" s="2" customFormat="1" ht="15.75" spans="2:22">
      <c r="B299" s="9">
        <v>300</v>
      </c>
      <c r="C299" s="2">
        <v>298</v>
      </c>
      <c r="D299" s="10" t="s">
        <v>442</v>
      </c>
      <c r="E299" s="11">
        <v>389</v>
      </c>
      <c r="F299" s="11">
        <v>293</v>
      </c>
      <c r="G299" s="12">
        <v>5</v>
      </c>
      <c r="H299" s="11">
        <v>0</v>
      </c>
      <c r="I299" s="23"/>
      <c r="K299" s="11">
        <v>0</v>
      </c>
      <c r="L299" s="11">
        <v>0</v>
      </c>
      <c r="R299" s="11" t="s">
        <v>438</v>
      </c>
      <c r="S299" s="11"/>
      <c r="V299" s="37" t="s">
        <v>439</v>
      </c>
    </row>
    <row r="300" s="2" customFormat="1" ht="15.75" spans="2:22">
      <c r="B300" s="9">
        <v>301</v>
      </c>
      <c r="C300" s="2">
        <v>299</v>
      </c>
      <c r="D300" s="10" t="s">
        <v>443</v>
      </c>
      <c r="E300" s="11">
        <v>391</v>
      </c>
      <c r="F300" s="11">
        <v>315</v>
      </c>
      <c r="G300" s="12">
        <v>5</v>
      </c>
      <c r="H300" s="11">
        <v>0</v>
      </c>
      <c r="I300" s="23"/>
      <c r="K300" s="11">
        <v>0</v>
      </c>
      <c r="L300" s="11">
        <v>0</v>
      </c>
      <c r="R300" s="11" t="s">
        <v>438</v>
      </c>
      <c r="S300" s="11"/>
      <c r="V300" s="37" t="s">
        <v>439</v>
      </c>
    </row>
    <row r="301" s="2" customFormat="1" ht="15.75" spans="2:22">
      <c r="B301" s="9">
        <v>302</v>
      </c>
      <c r="C301" s="2">
        <v>300</v>
      </c>
      <c r="D301" s="10" t="s">
        <v>444</v>
      </c>
      <c r="E301" s="11">
        <v>393</v>
      </c>
      <c r="F301" s="11">
        <v>326</v>
      </c>
      <c r="G301" s="12">
        <v>6</v>
      </c>
      <c r="H301" s="11">
        <v>0</v>
      </c>
      <c r="I301" s="23"/>
      <c r="K301" s="11">
        <v>0</v>
      </c>
      <c r="L301" s="11">
        <v>0</v>
      </c>
      <c r="R301" s="11" t="s">
        <v>438</v>
      </c>
      <c r="S301" s="11"/>
      <c r="V301" s="37" t="s">
        <v>439</v>
      </c>
    </row>
    <row r="302" s="2" customFormat="1" ht="15.75" spans="2:22">
      <c r="B302" s="9">
        <v>303</v>
      </c>
      <c r="C302" s="2">
        <v>301</v>
      </c>
      <c r="D302" s="10" t="s">
        <v>445</v>
      </c>
      <c r="E302" s="11">
        <v>243.24</v>
      </c>
      <c r="F302" s="11">
        <v>329.59</v>
      </c>
      <c r="G302" s="12">
        <v>7.2</v>
      </c>
      <c r="H302" s="11">
        <v>0</v>
      </c>
      <c r="I302" s="23"/>
      <c r="K302" s="11">
        <v>0</v>
      </c>
      <c r="L302" s="11">
        <v>0</v>
      </c>
      <c r="R302" s="11" t="s">
        <v>438</v>
      </c>
      <c r="S302" s="11"/>
      <c r="V302" s="37" t="s">
        <v>446</v>
      </c>
    </row>
    <row r="303" s="2" customFormat="1" ht="15.75" spans="2:22">
      <c r="B303" s="9">
        <v>304</v>
      </c>
      <c r="C303" s="2">
        <v>302</v>
      </c>
      <c r="D303" s="10" t="s">
        <v>447</v>
      </c>
      <c r="E303" s="11">
        <v>264.52</v>
      </c>
      <c r="F303" s="11">
        <v>329.45</v>
      </c>
      <c r="G303" s="12">
        <v>2.7</v>
      </c>
      <c r="H303" s="11">
        <v>0</v>
      </c>
      <c r="I303" s="23"/>
      <c r="K303" s="11">
        <v>0</v>
      </c>
      <c r="L303" s="11">
        <v>0</v>
      </c>
      <c r="R303" s="11" t="s">
        <v>438</v>
      </c>
      <c r="S303" s="11"/>
      <c r="V303" s="37" t="s">
        <v>446</v>
      </c>
    </row>
    <row r="304" s="2" customFormat="1" ht="15.75" spans="2:22">
      <c r="B304" s="9">
        <v>305</v>
      </c>
      <c r="C304" s="2">
        <v>303</v>
      </c>
      <c r="D304" s="10" t="s">
        <v>448</v>
      </c>
      <c r="E304" s="11">
        <v>276.97</v>
      </c>
      <c r="F304" s="11">
        <v>333.71</v>
      </c>
      <c r="G304" s="12">
        <v>2.8</v>
      </c>
      <c r="H304" s="11">
        <v>0</v>
      </c>
      <c r="I304" s="23"/>
      <c r="K304" s="11">
        <v>0</v>
      </c>
      <c r="L304" s="11">
        <v>0</v>
      </c>
      <c r="R304" s="11" t="s">
        <v>438</v>
      </c>
      <c r="S304" s="11"/>
      <c r="V304" s="37" t="s">
        <v>446</v>
      </c>
    </row>
    <row r="305" s="2" customFormat="1" ht="15.75" spans="2:22">
      <c r="B305" s="9">
        <v>306</v>
      </c>
      <c r="C305" s="2">
        <v>304</v>
      </c>
      <c r="D305" s="10" t="s">
        <v>449</v>
      </c>
      <c r="E305" s="11">
        <v>279.57</v>
      </c>
      <c r="F305" s="11">
        <v>337.19</v>
      </c>
      <c r="G305" s="12">
        <v>2.5</v>
      </c>
      <c r="H305" s="11">
        <v>0</v>
      </c>
      <c r="I305" s="23"/>
      <c r="K305" s="11">
        <v>0</v>
      </c>
      <c r="L305" s="11">
        <v>0</v>
      </c>
      <c r="R305" s="11" t="s">
        <v>438</v>
      </c>
      <c r="S305" s="11"/>
      <c r="V305" s="37" t="s">
        <v>446</v>
      </c>
    </row>
    <row r="306" s="2" customFormat="1" ht="15.75" spans="2:22">
      <c r="B306" s="9">
        <v>307</v>
      </c>
      <c r="C306" s="2">
        <v>305</v>
      </c>
      <c r="D306" s="10" t="s">
        <v>450</v>
      </c>
      <c r="E306" s="11">
        <v>263.27</v>
      </c>
      <c r="F306" s="11">
        <v>350.61</v>
      </c>
      <c r="G306" s="12">
        <v>4.4</v>
      </c>
      <c r="H306" s="11">
        <v>0</v>
      </c>
      <c r="I306" s="23"/>
      <c r="K306" s="11">
        <v>0</v>
      </c>
      <c r="L306" s="11">
        <v>0</v>
      </c>
      <c r="R306" s="11" t="s">
        <v>438</v>
      </c>
      <c r="S306" s="11"/>
      <c r="V306" s="37" t="s">
        <v>446</v>
      </c>
    </row>
    <row r="307" s="2" customFormat="1" ht="15.75" spans="2:22">
      <c r="B307" s="9">
        <v>308</v>
      </c>
      <c r="C307" s="2">
        <v>306</v>
      </c>
      <c r="D307" s="10" t="s">
        <v>451</v>
      </c>
      <c r="E307" s="11">
        <v>230.31</v>
      </c>
      <c r="F307" s="11">
        <v>328.32</v>
      </c>
      <c r="G307" s="12">
        <v>6.6</v>
      </c>
      <c r="H307" s="11">
        <v>0</v>
      </c>
      <c r="I307" s="23"/>
      <c r="K307" s="11">
        <v>0</v>
      </c>
      <c r="L307" s="11">
        <v>0</v>
      </c>
      <c r="R307" s="11" t="s">
        <v>438</v>
      </c>
      <c r="S307" s="11"/>
      <c r="V307" s="37" t="s">
        <v>446</v>
      </c>
    </row>
    <row r="308" s="2" customFormat="1" ht="15.75" spans="2:22">
      <c r="B308" s="9">
        <v>309</v>
      </c>
      <c r="C308" s="2">
        <v>307</v>
      </c>
      <c r="D308" s="10" t="s">
        <v>452</v>
      </c>
      <c r="E308" s="11">
        <v>221.96</v>
      </c>
      <c r="F308" s="11">
        <v>305.71</v>
      </c>
      <c r="G308" s="12">
        <v>3.9</v>
      </c>
      <c r="H308" s="11">
        <v>0</v>
      </c>
      <c r="I308" s="23"/>
      <c r="K308" s="11">
        <v>0</v>
      </c>
      <c r="L308" s="11">
        <v>0</v>
      </c>
      <c r="R308" s="11" t="s">
        <v>438</v>
      </c>
      <c r="S308" s="11"/>
      <c r="V308" s="37" t="s">
        <v>446</v>
      </c>
    </row>
    <row r="309" s="2" customFormat="1" ht="15.75" spans="2:22">
      <c r="B309" s="9">
        <v>310</v>
      </c>
      <c r="C309" s="2">
        <v>308</v>
      </c>
      <c r="D309" s="10" t="s">
        <v>453</v>
      </c>
      <c r="E309" s="11">
        <v>223.88</v>
      </c>
      <c r="F309" s="11">
        <v>290.25</v>
      </c>
      <c r="G309" s="12">
        <v>4.5</v>
      </c>
      <c r="H309" s="11">
        <v>0</v>
      </c>
      <c r="I309" s="23"/>
      <c r="K309" s="11">
        <v>0</v>
      </c>
      <c r="L309" s="11">
        <v>0</v>
      </c>
      <c r="R309" s="11" t="s">
        <v>438</v>
      </c>
      <c r="S309" s="11"/>
      <c r="V309" s="37" t="s">
        <v>446</v>
      </c>
    </row>
    <row r="310" s="2" customFormat="1" ht="15.75" spans="2:22">
      <c r="B310" s="9">
        <v>311</v>
      </c>
      <c r="C310" s="2">
        <v>309</v>
      </c>
      <c r="D310" s="10" t="s">
        <v>454</v>
      </c>
      <c r="E310" s="11">
        <v>213.24</v>
      </c>
      <c r="F310" s="11">
        <v>280.47</v>
      </c>
      <c r="G310" s="12">
        <v>4.2</v>
      </c>
      <c r="H310" s="11">
        <v>0</v>
      </c>
      <c r="I310" s="23"/>
      <c r="K310" s="11">
        <v>0</v>
      </c>
      <c r="L310" s="11">
        <v>0</v>
      </c>
      <c r="R310" s="11" t="s">
        <v>438</v>
      </c>
      <c r="S310" s="11"/>
      <c r="V310" s="37" t="s">
        <v>446</v>
      </c>
    </row>
    <row r="311" s="2" customFormat="1" ht="15.75" spans="2:22">
      <c r="B311" s="9">
        <v>312</v>
      </c>
      <c r="C311" s="2">
        <v>310</v>
      </c>
      <c r="D311" s="10" t="s">
        <v>455</v>
      </c>
      <c r="E311" s="11">
        <v>208.97</v>
      </c>
      <c r="F311" s="11">
        <v>270.95</v>
      </c>
      <c r="G311" s="12">
        <v>4.83</v>
      </c>
      <c r="H311" s="11">
        <v>0</v>
      </c>
      <c r="I311" s="23"/>
      <c r="K311" s="11">
        <v>0</v>
      </c>
      <c r="L311" s="11">
        <v>0</v>
      </c>
      <c r="R311" s="11" t="s">
        <v>438</v>
      </c>
      <c r="S311" s="11"/>
      <c r="V311" s="37" t="s">
        <v>446</v>
      </c>
    </row>
    <row r="312" s="2" customFormat="1" ht="15.75" spans="2:22">
      <c r="B312" s="9">
        <v>313</v>
      </c>
      <c r="C312" s="2">
        <v>311</v>
      </c>
      <c r="D312" s="10" t="s">
        <v>456</v>
      </c>
      <c r="E312" s="11">
        <v>233.67</v>
      </c>
      <c r="F312" s="11">
        <v>304.83</v>
      </c>
      <c r="G312" s="12">
        <v>3.92</v>
      </c>
      <c r="H312" s="11">
        <v>0</v>
      </c>
      <c r="I312" s="23"/>
      <c r="K312" s="11">
        <v>0</v>
      </c>
      <c r="L312" s="11">
        <v>0</v>
      </c>
      <c r="R312" s="11" t="s">
        <v>438</v>
      </c>
      <c r="S312" s="11"/>
      <c r="V312" s="37" t="s">
        <v>446</v>
      </c>
    </row>
    <row r="313" s="2" customFormat="1" ht="15.75" spans="2:22">
      <c r="B313" s="9">
        <v>314</v>
      </c>
      <c r="C313" s="2">
        <v>312</v>
      </c>
      <c r="D313" s="10" t="s">
        <v>457</v>
      </c>
      <c r="E313" s="11">
        <v>23.67</v>
      </c>
      <c r="F313" s="11">
        <v>301.17</v>
      </c>
      <c r="G313" s="12">
        <v>3.81</v>
      </c>
      <c r="H313" s="11">
        <v>0</v>
      </c>
      <c r="I313" s="23"/>
      <c r="K313" s="11">
        <v>0</v>
      </c>
      <c r="L313" s="11">
        <v>0</v>
      </c>
      <c r="R313" s="11" t="s">
        <v>438</v>
      </c>
      <c r="S313" s="11"/>
      <c r="V313" s="37" t="s">
        <v>446</v>
      </c>
    </row>
    <row r="314" s="2" customFormat="1" ht="15.75" spans="1:26">
      <c r="A314" s="8" t="s">
        <v>458</v>
      </c>
      <c r="B314" s="51">
        <v>1</v>
      </c>
      <c r="C314" s="2">
        <v>313</v>
      </c>
      <c r="D314" s="10" t="s">
        <v>459</v>
      </c>
      <c r="E314" s="10">
        <v>89.3</v>
      </c>
      <c r="F314" s="10">
        <v>132.8</v>
      </c>
      <c r="G314" s="52">
        <v>25</v>
      </c>
      <c r="H314" s="10" t="s">
        <v>136</v>
      </c>
      <c r="I314" s="53">
        <v>0.062</v>
      </c>
      <c r="J314" s="3" t="s">
        <v>460</v>
      </c>
      <c r="K314" s="36" t="s">
        <v>25</v>
      </c>
      <c r="L314" s="10" t="s">
        <v>461</v>
      </c>
      <c r="M314" s="3"/>
      <c r="N314" s="3"/>
      <c r="O314" s="3"/>
      <c r="P314" s="3"/>
      <c r="Q314" s="3"/>
      <c r="R314" s="10" t="s">
        <v>56</v>
      </c>
      <c r="S314" s="10"/>
      <c r="T314" s="3"/>
      <c r="U314" s="3"/>
      <c r="V314" s="3" t="s">
        <v>462</v>
      </c>
      <c r="X314" s="3"/>
      <c r="Y314" s="3"/>
      <c r="Z314" s="3"/>
    </row>
    <row r="315" s="2" customFormat="1" ht="15.75" spans="2:22">
      <c r="B315" s="51">
        <v>2</v>
      </c>
      <c r="C315" s="2">
        <v>314</v>
      </c>
      <c r="D315" s="10" t="s">
        <v>459</v>
      </c>
      <c r="E315" s="10">
        <v>91.1</v>
      </c>
      <c r="F315" s="10">
        <v>144.3</v>
      </c>
      <c r="G315" s="52">
        <v>30</v>
      </c>
      <c r="H315" s="10" t="s">
        <v>136</v>
      </c>
      <c r="I315" s="53">
        <v>0.076</v>
      </c>
      <c r="J315" s="3" t="s">
        <v>463</v>
      </c>
      <c r="K315" s="36" t="s">
        <v>25</v>
      </c>
      <c r="L315" s="10" t="s">
        <v>461</v>
      </c>
      <c r="M315" s="3"/>
      <c r="N315" s="3"/>
      <c r="O315" s="3"/>
      <c r="P315" s="3"/>
      <c r="Q315" s="3"/>
      <c r="R315" s="10" t="s">
        <v>56</v>
      </c>
      <c r="S315" s="10"/>
      <c r="T315" s="3"/>
      <c r="V315" s="37" t="s">
        <v>464</v>
      </c>
    </row>
    <row r="316" s="2" customFormat="1" ht="15.75" spans="2:22">
      <c r="B316" s="51">
        <v>3</v>
      </c>
      <c r="C316" s="2">
        <v>315</v>
      </c>
      <c r="D316" s="10" t="s">
        <v>459</v>
      </c>
      <c r="E316" s="10">
        <v>94.7</v>
      </c>
      <c r="F316" s="10">
        <v>151.6</v>
      </c>
      <c r="G316" s="52">
        <v>15</v>
      </c>
      <c r="H316" s="10" t="s">
        <v>136</v>
      </c>
      <c r="I316" s="53">
        <v>0.099</v>
      </c>
      <c r="J316" s="3" t="s">
        <v>465</v>
      </c>
      <c r="K316" s="36" t="s">
        <v>25</v>
      </c>
      <c r="L316" s="10" t="s">
        <v>461</v>
      </c>
      <c r="M316" s="3"/>
      <c r="N316" s="3"/>
      <c r="O316" s="3"/>
      <c r="P316" s="3"/>
      <c r="Q316" s="3"/>
      <c r="R316" s="10" t="s">
        <v>56</v>
      </c>
      <c r="S316" s="10"/>
      <c r="T316" s="3"/>
      <c r="V316" s="37" t="s">
        <v>466</v>
      </c>
    </row>
    <row r="317" s="2" customFormat="1" ht="15.75" spans="2:22">
      <c r="B317" s="51">
        <v>4</v>
      </c>
      <c r="C317" s="2">
        <v>316</v>
      </c>
      <c r="D317" s="10" t="s">
        <v>459</v>
      </c>
      <c r="E317" s="10">
        <v>94.4</v>
      </c>
      <c r="F317" s="10">
        <v>162.5</v>
      </c>
      <c r="G317" s="52">
        <v>10</v>
      </c>
      <c r="H317" s="10" t="s">
        <v>136</v>
      </c>
      <c r="I317" s="53">
        <v>0.116</v>
      </c>
      <c r="J317" s="3" t="s">
        <v>467</v>
      </c>
      <c r="K317" s="36" t="s">
        <v>25</v>
      </c>
      <c r="L317" s="10" t="s">
        <v>461</v>
      </c>
      <c r="M317" s="3"/>
      <c r="N317" s="3"/>
      <c r="O317" s="3"/>
      <c r="P317" s="3"/>
      <c r="Q317" s="3"/>
      <c r="R317" s="10" t="s">
        <v>56</v>
      </c>
      <c r="S317" s="10"/>
      <c r="T317" s="3"/>
      <c r="V317" s="37" t="s">
        <v>468</v>
      </c>
    </row>
    <row r="318" s="2" customFormat="1" ht="15.75" spans="2:22">
      <c r="B318" s="51">
        <v>5</v>
      </c>
      <c r="C318" s="2">
        <v>317</v>
      </c>
      <c r="D318" s="10" t="s">
        <v>459</v>
      </c>
      <c r="E318" s="10">
        <v>92.8</v>
      </c>
      <c r="F318" s="10">
        <v>160</v>
      </c>
      <c r="G318" s="52">
        <v>15</v>
      </c>
      <c r="H318" s="10" t="s">
        <v>136</v>
      </c>
      <c r="I318" s="53">
        <v>0.121</v>
      </c>
      <c r="J318" s="3"/>
      <c r="K318" s="36" t="s">
        <v>25</v>
      </c>
      <c r="L318" s="10" t="s">
        <v>461</v>
      </c>
      <c r="M318" s="3"/>
      <c r="N318" s="3"/>
      <c r="O318" s="3"/>
      <c r="P318" s="3"/>
      <c r="Q318" s="3"/>
      <c r="R318" s="10" t="s">
        <v>56</v>
      </c>
      <c r="S318" s="10"/>
      <c r="T318" s="3"/>
      <c r="V318" s="37" t="s">
        <v>469</v>
      </c>
    </row>
    <row r="319" s="2" customFormat="1" ht="15.75" spans="2:22">
      <c r="B319" s="51">
        <v>6</v>
      </c>
      <c r="C319" s="2">
        <v>318</v>
      </c>
      <c r="D319" s="10" t="s">
        <v>459</v>
      </c>
      <c r="E319" s="10">
        <v>102.1</v>
      </c>
      <c r="F319" s="10">
        <v>178.2</v>
      </c>
      <c r="G319" s="52">
        <v>10</v>
      </c>
      <c r="H319" s="10" t="s">
        <v>136</v>
      </c>
      <c r="I319" s="53">
        <v>0.111</v>
      </c>
      <c r="J319" s="3"/>
      <c r="K319" s="36" t="s">
        <v>25</v>
      </c>
      <c r="L319" s="10" t="s">
        <v>461</v>
      </c>
      <c r="M319" s="3"/>
      <c r="N319" s="3"/>
      <c r="O319" s="3"/>
      <c r="P319" s="3"/>
      <c r="Q319" s="3"/>
      <c r="R319" s="10" t="s">
        <v>56</v>
      </c>
      <c r="S319" s="10"/>
      <c r="T319" s="3"/>
      <c r="V319" s="37" t="s">
        <v>470</v>
      </c>
    </row>
    <row r="320" s="2" customFormat="1" ht="15.75" spans="2:22">
      <c r="B320" s="51">
        <v>7</v>
      </c>
      <c r="C320" s="2">
        <v>319</v>
      </c>
      <c r="D320" s="10" t="s">
        <v>471</v>
      </c>
      <c r="E320" s="10">
        <v>129</v>
      </c>
      <c r="F320" s="10">
        <v>210</v>
      </c>
      <c r="G320" s="52">
        <v>68</v>
      </c>
      <c r="H320" s="10" t="s">
        <v>136</v>
      </c>
      <c r="I320" s="53"/>
      <c r="J320" s="3" t="s">
        <v>472</v>
      </c>
      <c r="K320" s="10" t="s">
        <v>34</v>
      </c>
      <c r="L320" s="10" t="s">
        <v>461</v>
      </c>
      <c r="M320" s="3"/>
      <c r="N320" s="3"/>
      <c r="O320" s="3"/>
      <c r="P320" s="3"/>
      <c r="Q320" s="3"/>
      <c r="R320" s="10" t="s">
        <v>56</v>
      </c>
      <c r="S320" s="10"/>
      <c r="T320" s="3"/>
      <c r="V320" s="37" t="s">
        <v>473</v>
      </c>
    </row>
    <row r="321" s="2" customFormat="1" ht="15.75" spans="2:22">
      <c r="B321" s="51">
        <v>8</v>
      </c>
      <c r="C321" s="2">
        <v>320</v>
      </c>
      <c r="D321" s="10" t="s">
        <v>474</v>
      </c>
      <c r="E321" s="10">
        <v>146</v>
      </c>
      <c r="F321" s="10">
        <v>215</v>
      </c>
      <c r="G321" s="52">
        <v>45</v>
      </c>
      <c r="H321" s="10" t="s">
        <v>136</v>
      </c>
      <c r="I321" s="53"/>
      <c r="J321" s="3" t="s">
        <v>475</v>
      </c>
      <c r="K321" s="10" t="s">
        <v>34</v>
      </c>
      <c r="L321" s="10" t="s">
        <v>461</v>
      </c>
      <c r="M321" s="3"/>
      <c r="N321" s="3" t="s">
        <v>476</v>
      </c>
      <c r="O321" s="3" t="s">
        <v>477</v>
      </c>
      <c r="P321" s="3"/>
      <c r="Q321" s="3"/>
      <c r="R321" s="10" t="s">
        <v>56</v>
      </c>
      <c r="S321" s="10"/>
      <c r="T321" s="3"/>
      <c r="V321" s="37" t="s">
        <v>478</v>
      </c>
    </row>
    <row r="322" s="2" customFormat="1" ht="15.75" spans="2:22">
      <c r="B322" s="51">
        <v>9</v>
      </c>
      <c r="C322" s="2">
        <v>321</v>
      </c>
      <c r="D322" s="10" t="s">
        <v>479</v>
      </c>
      <c r="E322" s="10">
        <v>171</v>
      </c>
      <c r="F322" s="10">
        <v>245</v>
      </c>
      <c r="G322" s="52">
        <v>29</v>
      </c>
      <c r="H322" s="10" t="s">
        <v>136</v>
      </c>
      <c r="I322" s="53"/>
      <c r="J322" s="3" t="s">
        <v>480</v>
      </c>
      <c r="K322" s="10" t="s">
        <v>34</v>
      </c>
      <c r="L322" s="10" t="s">
        <v>461</v>
      </c>
      <c r="M322" s="3" t="s">
        <v>481</v>
      </c>
      <c r="N322" s="3" t="s">
        <v>476</v>
      </c>
      <c r="O322" s="3" t="s">
        <v>477</v>
      </c>
      <c r="P322" s="3"/>
      <c r="Q322" s="3"/>
      <c r="R322" s="10" t="s">
        <v>56</v>
      </c>
      <c r="S322" s="10"/>
      <c r="T322" s="3"/>
      <c r="V322" s="37" t="s">
        <v>482</v>
      </c>
    </row>
    <row r="323" s="2" customFormat="1" ht="15.75" spans="2:22">
      <c r="B323" s="51">
        <v>10</v>
      </c>
      <c r="C323" s="2">
        <v>322</v>
      </c>
      <c r="D323" s="10" t="s">
        <v>483</v>
      </c>
      <c r="E323" s="10">
        <v>154</v>
      </c>
      <c r="F323" s="10">
        <v>225</v>
      </c>
      <c r="G323" s="52">
        <v>33</v>
      </c>
      <c r="H323" s="10" t="s">
        <v>136</v>
      </c>
      <c r="I323" s="53"/>
      <c r="J323" s="3" t="s">
        <v>480</v>
      </c>
      <c r="K323" s="10" t="s">
        <v>34</v>
      </c>
      <c r="L323" s="10" t="s">
        <v>461</v>
      </c>
      <c r="M323" s="3"/>
      <c r="N323" s="3"/>
      <c r="O323" s="3"/>
      <c r="P323" s="3"/>
      <c r="Q323" s="3"/>
      <c r="R323" s="10" t="s">
        <v>56</v>
      </c>
      <c r="S323" s="10"/>
      <c r="T323" s="3"/>
      <c r="V323" s="37" t="s">
        <v>484</v>
      </c>
    </row>
    <row r="324" s="2" customFormat="1" ht="15.75" spans="2:22">
      <c r="B324" s="51">
        <v>11</v>
      </c>
      <c r="C324" s="2">
        <v>323</v>
      </c>
      <c r="D324" s="10" t="s">
        <v>485</v>
      </c>
      <c r="E324" s="10">
        <v>153</v>
      </c>
      <c r="F324" s="10">
        <v>223</v>
      </c>
      <c r="G324" s="52">
        <v>34</v>
      </c>
      <c r="H324" s="10" t="s">
        <v>136</v>
      </c>
      <c r="I324" s="53"/>
      <c r="J324" s="3" t="s">
        <v>480</v>
      </c>
      <c r="K324" s="10" t="s">
        <v>34</v>
      </c>
      <c r="L324" s="10" t="s">
        <v>461</v>
      </c>
      <c r="M324" s="3"/>
      <c r="N324" s="3"/>
      <c r="O324" s="3"/>
      <c r="P324" s="3"/>
      <c r="Q324" s="3"/>
      <c r="R324" s="10" t="s">
        <v>56</v>
      </c>
      <c r="S324" s="10"/>
      <c r="T324" s="3"/>
      <c r="V324" s="37" t="s">
        <v>486</v>
      </c>
    </row>
    <row r="325" s="2" customFormat="1" ht="15.75" spans="2:22">
      <c r="B325" s="51">
        <v>12</v>
      </c>
      <c r="C325" s="2">
        <v>324</v>
      </c>
      <c r="D325" s="10" t="s">
        <v>487</v>
      </c>
      <c r="E325" s="10">
        <v>150</v>
      </c>
      <c r="F325" s="10">
        <v>220</v>
      </c>
      <c r="G325" s="52">
        <v>35</v>
      </c>
      <c r="H325" s="10" t="s">
        <v>136</v>
      </c>
      <c r="I325" s="53"/>
      <c r="J325" s="3" t="s">
        <v>480</v>
      </c>
      <c r="K325" s="10" t="s">
        <v>34</v>
      </c>
      <c r="L325" s="10" t="s">
        <v>461</v>
      </c>
      <c r="M325" s="3"/>
      <c r="N325" s="3"/>
      <c r="O325" s="3"/>
      <c r="P325" s="3"/>
      <c r="Q325" s="3"/>
      <c r="R325" s="10" t="s">
        <v>56</v>
      </c>
      <c r="S325" s="10"/>
      <c r="T325" s="3"/>
      <c r="V325" s="37" t="s">
        <v>488</v>
      </c>
    </row>
    <row r="326" s="2" customFormat="1" ht="15.75" spans="2:22">
      <c r="B326" s="51">
        <v>13</v>
      </c>
      <c r="C326" s="2">
        <v>325</v>
      </c>
      <c r="D326" s="10" t="s">
        <v>471</v>
      </c>
      <c r="E326" s="10">
        <v>179</v>
      </c>
      <c r="F326" s="10">
        <v>281</v>
      </c>
      <c r="G326" s="52">
        <v>26</v>
      </c>
      <c r="H326" s="10" t="s">
        <v>77</v>
      </c>
      <c r="I326" s="53"/>
      <c r="J326" s="3" t="s">
        <v>472</v>
      </c>
      <c r="K326" s="54" t="s">
        <v>34</v>
      </c>
      <c r="L326" s="54" t="s">
        <v>78</v>
      </c>
      <c r="M326" s="3"/>
      <c r="N326" s="3"/>
      <c r="O326" s="3"/>
      <c r="P326" s="3"/>
      <c r="Q326" s="3"/>
      <c r="R326" s="11" t="s">
        <v>67</v>
      </c>
      <c r="S326" s="10" t="s">
        <v>489</v>
      </c>
      <c r="T326" s="3"/>
      <c r="V326" s="37" t="s">
        <v>490</v>
      </c>
    </row>
    <row r="327" s="2" customFormat="1" ht="15.75" spans="2:22">
      <c r="B327" s="51">
        <v>14</v>
      </c>
      <c r="C327" s="2">
        <v>326</v>
      </c>
      <c r="D327" s="10" t="s">
        <v>474</v>
      </c>
      <c r="E327" s="10">
        <v>204</v>
      </c>
      <c r="F327" s="10">
        <v>293</v>
      </c>
      <c r="G327" s="52">
        <v>14</v>
      </c>
      <c r="H327" s="24" t="s">
        <v>136</v>
      </c>
      <c r="I327" s="53"/>
      <c r="J327" s="3" t="s">
        <v>491</v>
      </c>
      <c r="K327" s="54" t="s">
        <v>34</v>
      </c>
      <c r="L327" s="10" t="s">
        <v>461</v>
      </c>
      <c r="M327" s="3"/>
      <c r="N327" s="3" t="s">
        <v>492</v>
      </c>
      <c r="O327" s="3" t="s">
        <v>477</v>
      </c>
      <c r="P327" s="3"/>
      <c r="Q327" s="3"/>
      <c r="R327" s="11" t="s">
        <v>67</v>
      </c>
      <c r="S327" s="10"/>
      <c r="T327" s="3"/>
      <c r="V327" s="37" t="s">
        <v>493</v>
      </c>
    </row>
    <row r="328" s="2" customFormat="1" ht="15.75" spans="2:22">
      <c r="B328" s="51">
        <v>15</v>
      </c>
      <c r="C328" s="2">
        <v>327</v>
      </c>
      <c r="D328" s="10" t="s">
        <v>479</v>
      </c>
      <c r="E328" s="10">
        <v>247</v>
      </c>
      <c r="F328" s="10">
        <v>325</v>
      </c>
      <c r="G328" s="52">
        <v>10</v>
      </c>
      <c r="H328" s="24" t="s">
        <v>136</v>
      </c>
      <c r="I328" s="53"/>
      <c r="J328" s="3" t="s">
        <v>491</v>
      </c>
      <c r="K328" s="54" t="s">
        <v>34</v>
      </c>
      <c r="L328" s="10" t="s">
        <v>461</v>
      </c>
      <c r="M328" s="3" t="s">
        <v>494</v>
      </c>
      <c r="N328" s="3" t="s">
        <v>492</v>
      </c>
      <c r="O328" s="3" t="s">
        <v>477</v>
      </c>
      <c r="P328" s="3"/>
      <c r="Q328" s="3"/>
      <c r="R328" s="11" t="s">
        <v>67</v>
      </c>
      <c r="S328" s="10"/>
      <c r="T328" s="3"/>
      <c r="V328" s="37" t="s">
        <v>495</v>
      </c>
    </row>
    <row r="329" s="2" customFormat="1" ht="15.75" spans="2:22">
      <c r="B329" s="51">
        <v>16</v>
      </c>
      <c r="C329" s="2">
        <v>328</v>
      </c>
      <c r="D329" s="10" t="s">
        <v>483</v>
      </c>
      <c r="E329" s="10">
        <v>226</v>
      </c>
      <c r="F329" s="10">
        <v>312</v>
      </c>
      <c r="G329" s="52">
        <v>12</v>
      </c>
      <c r="H329" s="24" t="s">
        <v>136</v>
      </c>
      <c r="I329" s="53"/>
      <c r="J329" s="3" t="s">
        <v>491</v>
      </c>
      <c r="K329" s="54" t="s">
        <v>34</v>
      </c>
      <c r="L329" s="10" t="s">
        <v>461</v>
      </c>
      <c r="M329" s="3"/>
      <c r="N329" s="3"/>
      <c r="O329" s="3"/>
      <c r="P329" s="3"/>
      <c r="Q329" s="3"/>
      <c r="R329" s="11" t="s">
        <v>67</v>
      </c>
      <c r="S329" s="10"/>
      <c r="T329" s="3"/>
      <c r="V329" s="37" t="s">
        <v>496</v>
      </c>
    </row>
    <row r="330" s="2" customFormat="1" ht="15.75" spans="2:22">
      <c r="B330" s="51">
        <v>17</v>
      </c>
      <c r="C330" s="2">
        <v>329</v>
      </c>
      <c r="D330" s="10" t="s">
        <v>485</v>
      </c>
      <c r="E330" s="10">
        <v>222</v>
      </c>
      <c r="F330" s="10">
        <v>309</v>
      </c>
      <c r="G330" s="52">
        <v>12</v>
      </c>
      <c r="H330" s="24" t="s">
        <v>136</v>
      </c>
      <c r="I330" s="53"/>
      <c r="J330" s="3" t="s">
        <v>491</v>
      </c>
      <c r="K330" s="54" t="s">
        <v>34</v>
      </c>
      <c r="L330" s="10" t="s">
        <v>461</v>
      </c>
      <c r="M330" s="3"/>
      <c r="N330" s="3"/>
      <c r="O330" s="3"/>
      <c r="P330" s="3"/>
      <c r="Q330" s="3"/>
      <c r="R330" s="11" t="s">
        <v>67</v>
      </c>
      <c r="S330" s="10"/>
      <c r="T330" s="3"/>
      <c r="V330" s="37" t="s">
        <v>497</v>
      </c>
    </row>
    <row r="331" s="2" customFormat="1" ht="15.75" spans="2:22">
      <c r="B331" s="51">
        <v>18</v>
      </c>
      <c r="C331" s="2">
        <v>330</v>
      </c>
      <c r="D331" s="10" t="s">
        <v>487</v>
      </c>
      <c r="E331" s="10">
        <v>215</v>
      </c>
      <c r="F331" s="10">
        <v>296</v>
      </c>
      <c r="G331" s="52">
        <v>13</v>
      </c>
      <c r="H331" s="24" t="s">
        <v>136</v>
      </c>
      <c r="I331" s="53"/>
      <c r="J331" s="3" t="s">
        <v>491</v>
      </c>
      <c r="K331" s="54" t="s">
        <v>34</v>
      </c>
      <c r="L331" s="10" t="s">
        <v>461</v>
      </c>
      <c r="M331" s="3"/>
      <c r="N331" s="3"/>
      <c r="O331" s="3"/>
      <c r="P331" s="3"/>
      <c r="Q331" s="3"/>
      <c r="R331" s="11" t="s">
        <v>67</v>
      </c>
      <c r="S331" s="10"/>
      <c r="T331" s="3"/>
      <c r="V331" s="37" t="s">
        <v>498</v>
      </c>
    </row>
    <row r="332" s="2" customFormat="1" ht="15.75" spans="2:22">
      <c r="B332" s="51">
        <v>19</v>
      </c>
      <c r="C332" s="2">
        <v>331</v>
      </c>
      <c r="D332" s="10" t="s">
        <v>499</v>
      </c>
      <c r="E332" s="10">
        <v>135</v>
      </c>
      <c r="F332" s="10">
        <v>344</v>
      </c>
      <c r="G332" s="52">
        <v>50</v>
      </c>
      <c r="H332" s="10">
        <v>1</v>
      </c>
      <c r="I332" s="53">
        <v>0.107</v>
      </c>
      <c r="J332" s="3" t="s">
        <v>500</v>
      </c>
      <c r="K332" s="10" t="s">
        <v>34</v>
      </c>
      <c r="L332" s="10">
        <v>1</v>
      </c>
      <c r="M332" s="3"/>
      <c r="N332" s="3"/>
      <c r="O332" s="3"/>
      <c r="P332" s="3"/>
      <c r="Q332" s="3"/>
      <c r="R332" s="10" t="s">
        <v>56</v>
      </c>
      <c r="S332" s="10"/>
      <c r="T332" s="3"/>
      <c r="V332" s="37" t="s">
        <v>501</v>
      </c>
    </row>
    <row r="333" s="2" customFormat="1" ht="15.75" spans="2:22">
      <c r="B333" s="51">
        <v>20</v>
      </c>
      <c r="C333" s="2">
        <v>332</v>
      </c>
      <c r="D333" s="10" t="s">
        <v>502</v>
      </c>
      <c r="E333" s="10">
        <v>138</v>
      </c>
      <c r="F333" s="10">
        <v>349</v>
      </c>
      <c r="G333" s="52">
        <v>25</v>
      </c>
      <c r="H333" s="10">
        <v>1</v>
      </c>
      <c r="I333" s="53">
        <v>0.104</v>
      </c>
      <c r="J333" s="3" t="s">
        <v>500</v>
      </c>
      <c r="K333" s="10" t="s">
        <v>34</v>
      </c>
      <c r="L333" s="10">
        <v>1</v>
      </c>
      <c r="M333" s="3"/>
      <c r="N333" s="3"/>
      <c r="O333" s="3"/>
      <c r="P333" s="3"/>
      <c r="Q333" s="3"/>
      <c r="R333" s="10" t="s">
        <v>56</v>
      </c>
      <c r="S333" s="10"/>
      <c r="T333" s="3"/>
      <c r="V333" s="37" t="s">
        <v>501</v>
      </c>
    </row>
    <row r="334" s="2" customFormat="1" ht="15.75" spans="2:22">
      <c r="B334" s="51">
        <v>21</v>
      </c>
      <c r="C334" s="2">
        <v>333</v>
      </c>
      <c r="D334" s="10" t="s">
        <v>503</v>
      </c>
      <c r="E334" s="10">
        <v>139</v>
      </c>
      <c r="F334" s="10">
        <v>362</v>
      </c>
      <c r="G334" s="52">
        <v>25</v>
      </c>
      <c r="H334" s="10">
        <v>1</v>
      </c>
      <c r="I334" s="53">
        <v>0.102</v>
      </c>
      <c r="J334" s="3" t="s">
        <v>504</v>
      </c>
      <c r="K334" s="10" t="s">
        <v>34</v>
      </c>
      <c r="L334" s="10">
        <v>1</v>
      </c>
      <c r="M334" s="3"/>
      <c r="N334" s="3"/>
      <c r="O334" s="3"/>
      <c r="P334" s="3"/>
      <c r="Q334" s="3"/>
      <c r="R334" s="10" t="s">
        <v>56</v>
      </c>
      <c r="S334" s="10"/>
      <c r="T334" s="3"/>
      <c r="V334" s="37" t="s">
        <v>501</v>
      </c>
    </row>
    <row r="335" s="2" customFormat="1" ht="15.75" spans="2:22">
      <c r="B335" s="51">
        <v>22</v>
      </c>
      <c r="C335" s="2">
        <v>334</v>
      </c>
      <c r="D335" s="10" t="s">
        <v>505</v>
      </c>
      <c r="E335" s="10">
        <v>156</v>
      </c>
      <c r="F335" s="10">
        <v>371</v>
      </c>
      <c r="G335" s="52">
        <v>30</v>
      </c>
      <c r="H335" s="10">
        <v>1</v>
      </c>
      <c r="I335" s="53">
        <v>0.101</v>
      </c>
      <c r="J335" s="3" t="s">
        <v>506</v>
      </c>
      <c r="K335" s="10" t="s">
        <v>34</v>
      </c>
      <c r="L335" s="10">
        <v>1</v>
      </c>
      <c r="M335" s="3"/>
      <c r="N335" s="3"/>
      <c r="O335" s="3"/>
      <c r="P335" s="3"/>
      <c r="Q335" s="3"/>
      <c r="R335" s="10" t="s">
        <v>56</v>
      </c>
      <c r="S335" s="10"/>
      <c r="T335" s="3"/>
      <c r="V335" s="37" t="s">
        <v>501</v>
      </c>
    </row>
    <row r="336" s="2" customFormat="1" ht="15.75" spans="2:22">
      <c r="B336" s="51">
        <v>23</v>
      </c>
      <c r="C336" s="2">
        <v>335</v>
      </c>
      <c r="D336" s="10" t="s">
        <v>507</v>
      </c>
      <c r="E336" s="10">
        <v>155</v>
      </c>
      <c r="F336" s="10">
        <v>382</v>
      </c>
      <c r="G336" s="52">
        <v>30</v>
      </c>
      <c r="H336" s="10">
        <v>1</v>
      </c>
      <c r="I336" s="53">
        <v>0.095</v>
      </c>
      <c r="J336" s="3" t="s">
        <v>506</v>
      </c>
      <c r="K336" s="10" t="s">
        <v>34</v>
      </c>
      <c r="L336" s="10">
        <v>1</v>
      </c>
      <c r="M336" s="3"/>
      <c r="N336" s="3"/>
      <c r="O336" s="3"/>
      <c r="P336" s="3"/>
      <c r="Q336" s="3"/>
      <c r="R336" s="10" t="s">
        <v>56</v>
      </c>
      <c r="S336" s="10"/>
      <c r="T336" s="3"/>
      <c r="V336" s="37" t="s">
        <v>501</v>
      </c>
    </row>
    <row r="337" s="2" customFormat="1" ht="15.75" spans="2:22">
      <c r="B337" s="51">
        <v>24</v>
      </c>
      <c r="C337" s="2">
        <v>336</v>
      </c>
      <c r="D337" s="10" t="s">
        <v>508</v>
      </c>
      <c r="E337" s="10">
        <v>154</v>
      </c>
      <c r="F337" s="10">
        <v>372</v>
      </c>
      <c r="G337" s="52">
        <v>30</v>
      </c>
      <c r="H337" s="10">
        <v>1</v>
      </c>
      <c r="I337" s="53">
        <v>0.088</v>
      </c>
      <c r="J337" s="3" t="s">
        <v>506</v>
      </c>
      <c r="K337" s="10" t="s">
        <v>34</v>
      </c>
      <c r="L337" s="10">
        <v>1</v>
      </c>
      <c r="M337" s="3"/>
      <c r="N337" s="3"/>
      <c r="O337" s="3"/>
      <c r="P337" s="3"/>
      <c r="Q337" s="3"/>
      <c r="R337" s="10" t="s">
        <v>56</v>
      </c>
      <c r="S337" s="10"/>
      <c r="T337" s="3"/>
      <c r="V337" s="37" t="s">
        <v>501</v>
      </c>
    </row>
    <row r="338" s="2" customFormat="1" ht="15.75" spans="2:22">
      <c r="B338" s="51">
        <v>25</v>
      </c>
      <c r="C338" s="2">
        <v>337</v>
      </c>
      <c r="D338" s="10" t="s">
        <v>509</v>
      </c>
      <c r="E338" s="10">
        <v>143</v>
      </c>
      <c r="F338" s="10">
        <v>355</v>
      </c>
      <c r="G338" s="52">
        <v>30</v>
      </c>
      <c r="H338" s="10">
        <v>1</v>
      </c>
      <c r="I338" s="53">
        <v>0.085</v>
      </c>
      <c r="J338" s="3" t="s">
        <v>506</v>
      </c>
      <c r="K338" s="10" t="s">
        <v>34</v>
      </c>
      <c r="L338" s="10">
        <v>1</v>
      </c>
      <c r="M338" s="3"/>
      <c r="N338" s="3"/>
      <c r="O338" s="3"/>
      <c r="P338" s="3"/>
      <c r="Q338" s="3"/>
      <c r="R338" s="10" t="s">
        <v>56</v>
      </c>
      <c r="S338" s="10"/>
      <c r="T338" s="3"/>
      <c r="V338" s="37" t="s">
        <v>501</v>
      </c>
    </row>
    <row r="339" s="2" customFormat="1" ht="15.75" spans="2:22">
      <c r="B339" s="51">
        <v>26</v>
      </c>
      <c r="C339" s="2">
        <v>338</v>
      </c>
      <c r="D339" s="10" t="s">
        <v>510</v>
      </c>
      <c r="E339" s="10">
        <v>147</v>
      </c>
      <c r="F339" s="10">
        <v>352</v>
      </c>
      <c r="G339" s="52">
        <v>40</v>
      </c>
      <c r="H339" s="10">
        <v>1</v>
      </c>
      <c r="I339" s="53">
        <v>0.071</v>
      </c>
      <c r="J339" s="3" t="s">
        <v>511</v>
      </c>
      <c r="K339" s="10" t="s">
        <v>34</v>
      </c>
      <c r="L339" s="10">
        <v>1</v>
      </c>
      <c r="M339" s="3"/>
      <c r="N339" s="3"/>
      <c r="O339" s="3"/>
      <c r="P339" s="3"/>
      <c r="Q339" s="3"/>
      <c r="R339" s="10" t="s">
        <v>56</v>
      </c>
      <c r="S339" s="10"/>
      <c r="T339" s="3"/>
      <c r="V339" s="37" t="s">
        <v>501</v>
      </c>
    </row>
    <row r="340" s="2" customFormat="1" ht="15.75" spans="2:22">
      <c r="B340" s="51">
        <v>27</v>
      </c>
      <c r="C340" s="2">
        <v>339</v>
      </c>
      <c r="D340" s="10" t="s">
        <v>512</v>
      </c>
      <c r="E340" s="10">
        <v>157</v>
      </c>
      <c r="F340" s="10">
        <v>362</v>
      </c>
      <c r="G340" s="52">
        <v>40</v>
      </c>
      <c r="H340" s="10">
        <v>1</v>
      </c>
      <c r="I340" s="53">
        <v>0.092</v>
      </c>
      <c r="J340" s="3" t="s">
        <v>513</v>
      </c>
      <c r="K340" s="10" t="s">
        <v>34</v>
      </c>
      <c r="L340" s="10">
        <v>1</v>
      </c>
      <c r="M340" s="3"/>
      <c r="N340" s="3"/>
      <c r="O340" s="3"/>
      <c r="P340" s="3"/>
      <c r="Q340" s="3"/>
      <c r="R340" s="10" t="s">
        <v>56</v>
      </c>
      <c r="S340" s="10"/>
      <c r="T340" s="3"/>
      <c r="V340" s="37" t="s">
        <v>501</v>
      </c>
    </row>
    <row r="341" s="2" customFormat="1" ht="15.75" spans="2:22">
      <c r="B341" s="51">
        <v>28</v>
      </c>
      <c r="C341" s="2">
        <v>340</v>
      </c>
      <c r="D341" s="10" t="s">
        <v>514</v>
      </c>
      <c r="E341" s="10">
        <v>168</v>
      </c>
      <c r="F341" s="10">
        <v>384</v>
      </c>
      <c r="G341" s="52">
        <v>35</v>
      </c>
      <c r="H341" s="10">
        <v>1</v>
      </c>
      <c r="I341" s="53">
        <v>0.089</v>
      </c>
      <c r="J341" s="3" t="s">
        <v>511</v>
      </c>
      <c r="K341" s="10" t="s">
        <v>34</v>
      </c>
      <c r="L341" s="10">
        <v>1</v>
      </c>
      <c r="M341" s="3"/>
      <c r="N341" s="3"/>
      <c r="O341" s="3"/>
      <c r="P341" s="3"/>
      <c r="Q341" s="3"/>
      <c r="R341" s="10" t="s">
        <v>56</v>
      </c>
      <c r="S341" s="10"/>
      <c r="T341" s="3"/>
      <c r="V341" s="37" t="s">
        <v>501</v>
      </c>
    </row>
    <row r="342" s="2" customFormat="1" ht="15.75" spans="2:22">
      <c r="B342" s="51">
        <v>29</v>
      </c>
      <c r="C342" s="2">
        <v>341</v>
      </c>
      <c r="D342" s="10" t="s">
        <v>515</v>
      </c>
      <c r="E342" s="10">
        <v>161</v>
      </c>
      <c r="F342" s="10">
        <v>365</v>
      </c>
      <c r="G342" s="52">
        <v>30</v>
      </c>
      <c r="H342" s="10">
        <v>1</v>
      </c>
      <c r="I342" s="53">
        <v>0.077</v>
      </c>
      <c r="J342" s="3" t="s">
        <v>511</v>
      </c>
      <c r="K342" s="10" t="s">
        <v>34</v>
      </c>
      <c r="L342" s="10">
        <v>1</v>
      </c>
      <c r="M342" s="3"/>
      <c r="N342" s="3"/>
      <c r="O342" s="3"/>
      <c r="P342" s="3"/>
      <c r="Q342" s="3"/>
      <c r="R342" s="10" t="s">
        <v>56</v>
      </c>
      <c r="S342" s="10"/>
      <c r="T342" s="3"/>
      <c r="V342" s="37" t="s">
        <v>501</v>
      </c>
    </row>
    <row r="343" s="2" customFormat="1" ht="15.75" spans="2:22">
      <c r="B343" s="51">
        <v>30</v>
      </c>
      <c r="C343" s="2">
        <v>342</v>
      </c>
      <c r="D343" s="10" t="s">
        <v>516</v>
      </c>
      <c r="E343" s="10">
        <v>153</v>
      </c>
      <c r="F343" s="10">
        <v>356</v>
      </c>
      <c r="G343" s="52">
        <v>25</v>
      </c>
      <c r="H343" s="10">
        <v>1</v>
      </c>
      <c r="I343" s="53">
        <v>0.07</v>
      </c>
      <c r="J343" s="3" t="s">
        <v>513</v>
      </c>
      <c r="K343" s="10" t="s">
        <v>34</v>
      </c>
      <c r="L343" s="10">
        <v>1</v>
      </c>
      <c r="M343" s="3"/>
      <c r="N343" s="3"/>
      <c r="O343" s="3"/>
      <c r="P343" s="3"/>
      <c r="Q343" s="3"/>
      <c r="R343" s="10" t="s">
        <v>56</v>
      </c>
      <c r="S343" s="10"/>
      <c r="T343" s="3"/>
      <c r="V343" s="37" t="s">
        <v>501</v>
      </c>
    </row>
    <row r="344" s="2" customFormat="1" ht="15.75" spans="2:22">
      <c r="B344" s="51">
        <v>31</v>
      </c>
      <c r="C344" s="2">
        <v>343</v>
      </c>
      <c r="D344" s="10" t="s">
        <v>514</v>
      </c>
      <c r="E344" s="10">
        <v>198</v>
      </c>
      <c r="F344" s="10">
        <v>465</v>
      </c>
      <c r="G344" s="52">
        <v>25</v>
      </c>
      <c r="H344" s="10">
        <v>1</v>
      </c>
      <c r="I344" s="53"/>
      <c r="J344" s="3" t="s">
        <v>517</v>
      </c>
      <c r="K344" s="10" t="s">
        <v>34</v>
      </c>
      <c r="L344" s="10">
        <v>1</v>
      </c>
      <c r="M344" s="3" t="s">
        <v>518</v>
      </c>
      <c r="N344" s="3"/>
      <c r="O344" s="3"/>
      <c r="P344" s="3"/>
      <c r="Q344" s="3"/>
      <c r="R344" s="10" t="s">
        <v>519</v>
      </c>
      <c r="S344" s="10" t="s">
        <v>520</v>
      </c>
      <c r="T344" s="3"/>
      <c r="V344" s="37" t="s">
        <v>501</v>
      </c>
    </row>
    <row r="345" s="2" customFormat="1" ht="15.75" spans="2:22">
      <c r="B345" s="51">
        <v>32</v>
      </c>
      <c r="C345" s="2">
        <v>344</v>
      </c>
      <c r="D345" s="10" t="s">
        <v>514</v>
      </c>
      <c r="E345" s="10">
        <v>132</v>
      </c>
      <c r="F345" s="10">
        <v>473</v>
      </c>
      <c r="G345" s="52">
        <v>41</v>
      </c>
      <c r="H345" s="10">
        <v>1</v>
      </c>
      <c r="I345" s="53"/>
      <c r="J345" s="3" t="s">
        <v>521</v>
      </c>
      <c r="K345" s="10" t="s">
        <v>34</v>
      </c>
      <c r="L345" s="10">
        <v>1</v>
      </c>
      <c r="M345" s="3"/>
      <c r="N345" s="3"/>
      <c r="O345" s="3"/>
      <c r="P345" s="3"/>
      <c r="Q345" s="3"/>
      <c r="R345" s="10" t="s">
        <v>519</v>
      </c>
      <c r="S345" s="10" t="s">
        <v>522</v>
      </c>
      <c r="T345" s="3"/>
      <c r="V345" s="37" t="s">
        <v>501</v>
      </c>
    </row>
    <row r="346" s="2" customFormat="1" ht="15.75" spans="2:22">
      <c r="B346" s="51">
        <v>33</v>
      </c>
      <c r="C346" s="2">
        <v>345</v>
      </c>
      <c r="D346" s="10" t="s">
        <v>514</v>
      </c>
      <c r="E346" s="10">
        <v>224</v>
      </c>
      <c r="F346" s="10">
        <v>586</v>
      </c>
      <c r="G346" s="52">
        <v>41</v>
      </c>
      <c r="H346" s="10">
        <v>1</v>
      </c>
      <c r="I346" s="53"/>
      <c r="J346" s="3" t="s">
        <v>523</v>
      </c>
      <c r="K346" s="10" t="s">
        <v>34</v>
      </c>
      <c r="L346" s="10">
        <v>1</v>
      </c>
      <c r="M346" s="3"/>
      <c r="N346" s="3"/>
      <c r="O346" s="3"/>
      <c r="P346" s="3"/>
      <c r="Q346" s="3"/>
      <c r="R346" s="10" t="s">
        <v>519</v>
      </c>
      <c r="S346" s="10" t="s">
        <v>522</v>
      </c>
      <c r="T346" s="3"/>
      <c r="V346" s="37" t="s">
        <v>501</v>
      </c>
    </row>
    <row r="347" s="2" customFormat="1" ht="15.75" spans="2:22">
      <c r="B347" s="51">
        <v>34</v>
      </c>
      <c r="C347" s="2">
        <v>346</v>
      </c>
      <c r="D347" s="10" t="s">
        <v>524</v>
      </c>
      <c r="E347" s="10">
        <v>100</v>
      </c>
      <c r="F347" s="10">
        <v>171</v>
      </c>
      <c r="G347" s="52">
        <v>80</v>
      </c>
      <c r="H347" s="10">
        <v>1</v>
      </c>
      <c r="I347" s="53"/>
      <c r="J347" s="3" t="s">
        <v>525</v>
      </c>
      <c r="K347" s="10" t="s">
        <v>34</v>
      </c>
      <c r="L347" s="10">
        <v>1</v>
      </c>
      <c r="M347" s="3"/>
      <c r="N347" s="3"/>
      <c r="O347" s="3"/>
      <c r="P347" s="3"/>
      <c r="Q347" s="3"/>
      <c r="R347" s="10" t="s">
        <v>56</v>
      </c>
      <c r="S347" s="10"/>
      <c r="T347" s="3"/>
      <c r="V347" s="37" t="s">
        <v>526</v>
      </c>
    </row>
    <row r="348" s="2" customFormat="1" ht="15.75" spans="2:22">
      <c r="B348" s="51">
        <v>35</v>
      </c>
      <c r="C348" s="2">
        <v>347</v>
      </c>
      <c r="D348" s="10" t="s">
        <v>527</v>
      </c>
      <c r="E348" s="10">
        <v>101</v>
      </c>
      <c r="F348" s="10">
        <v>177</v>
      </c>
      <c r="G348" s="52">
        <v>70</v>
      </c>
      <c r="H348" s="10">
        <v>1</v>
      </c>
      <c r="I348" s="53"/>
      <c r="J348" s="3" t="s">
        <v>528</v>
      </c>
      <c r="K348" s="10" t="s">
        <v>34</v>
      </c>
      <c r="L348" s="10">
        <v>1</v>
      </c>
      <c r="M348" s="3"/>
      <c r="N348" s="3"/>
      <c r="O348" s="3"/>
      <c r="P348" s="3"/>
      <c r="Q348" s="3"/>
      <c r="R348" s="10" t="s">
        <v>56</v>
      </c>
      <c r="S348" s="10"/>
      <c r="T348" s="3"/>
      <c r="V348" s="37" t="s">
        <v>526</v>
      </c>
    </row>
    <row r="349" s="2" customFormat="1" ht="15.75" spans="2:22">
      <c r="B349" s="51">
        <v>36</v>
      </c>
      <c r="C349" s="2">
        <v>348</v>
      </c>
      <c r="D349" s="10" t="s">
        <v>529</v>
      </c>
      <c r="E349" s="10">
        <v>120</v>
      </c>
      <c r="F349" s="10">
        <v>196</v>
      </c>
      <c r="G349" s="52">
        <v>50</v>
      </c>
      <c r="H349" s="10">
        <v>1</v>
      </c>
      <c r="I349" s="53"/>
      <c r="J349" s="3" t="s">
        <v>530</v>
      </c>
      <c r="K349" s="10" t="s">
        <v>34</v>
      </c>
      <c r="L349" s="10">
        <v>1</v>
      </c>
      <c r="M349" s="3"/>
      <c r="N349" s="3"/>
      <c r="O349" s="3"/>
      <c r="P349" s="3"/>
      <c r="Q349" s="3"/>
      <c r="R349" s="10" t="s">
        <v>56</v>
      </c>
      <c r="S349" s="10"/>
      <c r="T349" s="3"/>
      <c r="V349" s="37" t="s">
        <v>526</v>
      </c>
    </row>
    <row r="350" s="2" customFormat="1" ht="15.75" spans="2:22">
      <c r="B350" s="51">
        <v>37</v>
      </c>
      <c r="C350" s="2">
        <v>349</v>
      </c>
      <c r="D350" s="10" t="s">
        <v>531</v>
      </c>
      <c r="E350" s="10">
        <v>130</v>
      </c>
      <c r="F350" s="10">
        <v>204</v>
      </c>
      <c r="G350" s="52">
        <v>35</v>
      </c>
      <c r="H350" s="10">
        <v>1</v>
      </c>
      <c r="I350" s="53"/>
      <c r="J350" s="3" t="s">
        <v>530</v>
      </c>
      <c r="K350" s="10" t="s">
        <v>34</v>
      </c>
      <c r="L350" s="10">
        <v>1</v>
      </c>
      <c r="M350" s="3"/>
      <c r="N350" s="3"/>
      <c r="O350" s="3"/>
      <c r="P350" s="3"/>
      <c r="Q350" s="3"/>
      <c r="R350" s="10" t="s">
        <v>56</v>
      </c>
      <c r="S350" s="10"/>
      <c r="T350" s="3"/>
      <c r="V350" s="37" t="s">
        <v>526</v>
      </c>
    </row>
    <row r="351" s="2" customFormat="1" ht="15.75" spans="2:22">
      <c r="B351" s="51">
        <v>38</v>
      </c>
      <c r="C351" s="2">
        <v>350</v>
      </c>
      <c r="D351" s="10" t="s">
        <v>532</v>
      </c>
      <c r="E351" s="10">
        <v>130</v>
      </c>
      <c r="F351" s="10">
        <v>209</v>
      </c>
      <c r="G351" s="52">
        <v>35</v>
      </c>
      <c r="H351" s="10">
        <v>1</v>
      </c>
      <c r="I351" s="53"/>
      <c r="J351" s="3" t="s">
        <v>530</v>
      </c>
      <c r="K351" s="10" t="s">
        <v>34</v>
      </c>
      <c r="L351" s="10">
        <v>1</v>
      </c>
      <c r="M351" s="3"/>
      <c r="N351" s="3"/>
      <c r="O351" s="3"/>
      <c r="P351" s="3"/>
      <c r="Q351" s="3"/>
      <c r="R351" s="10" t="s">
        <v>56</v>
      </c>
      <c r="S351" s="10"/>
      <c r="T351" s="3"/>
      <c r="V351" s="37" t="s">
        <v>526</v>
      </c>
    </row>
    <row r="352" s="2" customFormat="1" ht="15.75" spans="2:22">
      <c r="B352" s="51">
        <v>39</v>
      </c>
      <c r="C352" s="2">
        <v>351</v>
      </c>
      <c r="D352" s="10" t="s">
        <v>533</v>
      </c>
      <c r="E352" s="10">
        <v>128</v>
      </c>
      <c r="F352" s="10">
        <v>206</v>
      </c>
      <c r="G352" s="52">
        <v>30</v>
      </c>
      <c r="H352" s="10">
        <v>1</v>
      </c>
      <c r="I352" s="53"/>
      <c r="J352" s="3" t="s">
        <v>530</v>
      </c>
      <c r="K352" s="10" t="s">
        <v>34</v>
      </c>
      <c r="L352" s="10">
        <v>1</v>
      </c>
      <c r="M352" s="3"/>
      <c r="N352" s="3"/>
      <c r="O352" s="3"/>
      <c r="P352" s="3"/>
      <c r="Q352" s="3"/>
      <c r="R352" s="10" t="s">
        <v>56</v>
      </c>
      <c r="S352" s="10"/>
      <c r="T352" s="3"/>
      <c r="V352" s="37" t="s">
        <v>526</v>
      </c>
    </row>
    <row r="353" s="2" customFormat="1" ht="15.75" spans="2:22">
      <c r="B353" s="51">
        <v>40</v>
      </c>
      <c r="C353" s="2">
        <v>352</v>
      </c>
      <c r="D353" s="10" t="s">
        <v>534</v>
      </c>
      <c r="E353" s="10">
        <v>135</v>
      </c>
      <c r="F353" s="10">
        <v>228</v>
      </c>
      <c r="G353" s="52">
        <v>50</v>
      </c>
      <c r="H353" s="10">
        <v>1</v>
      </c>
      <c r="I353" s="53"/>
      <c r="J353" s="3" t="s">
        <v>535</v>
      </c>
      <c r="K353" s="10" t="s">
        <v>34</v>
      </c>
      <c r="L353" s="10">
        <v>1</v>
      </c>
      <c r="M353" s="3"/>
      <c r="N353" s="3"/>
      <c r="O353" s="3"/>
      <c r="P353" s="3"/>
      <c r="Q353" s="3"/>
      <c r="R353" s="10" t="s">
        <v>56</v>
      </c>
      <c r="S353" s="10"/>
      <c r="T353" s="3"/>
      <c r="V353" s="37" t="s">
        <v>526</v>
      </c>
    </row>
    <row r="354" s="2" customFormat="1" ht="15.75" spans="2:22">
      <c r="B354" s="51">
        <v>41</v>
      </c>
      <c r="C354" s="2">
        <v>353</v>
      </c>
      <c r="D354" s="10" t="s">
        <v>536</v>
      </c>
      <c r="E354" s="10">
        <v>122</v>
      </c>
      <c r="F354" s="10">
        <v>273</v>
      </c>
      <c r="G354" s="52">
        <v>25</v>
      </c>
      <c r="H354" s="10">
        <v>1</v>
      </c>
      <c r="I354" s="53"/>
      <c r="J354" s="3" t="s">
        <v>537</v>
      </c>
      <c r="K354" s="10" t="s">
        <v>34</v>
      </c>
      <c r="L354" s="10">
        <v>1</v>
      </c>
      <c r="M354" s="3"/>
      <c r="N354" s="3"/>
      <c r="O354" s="3"/>
      <c r="P354" s="3"/>
      <c r="Q354" s="3"/>
      <c r="R354" s="10" t="s">
        <v>56</v>
      </c>
      <c r="S354" s="10"/>
      <c r="T354" s="3"/>
      <c r="V354" s="37" t="s">
        <v>526</v>
      </c>
    </row>
    <row r="355" s="2" customFormat="1" ht="15.75" spans="2:22">
      <c r="B355" s="51">
        <v>42</v>
      </c>
      <c r="C355" s="2">
        <v>354</v>
      </c>
      <c r="D355" s="10" t="s">
        <v>538</v>
      </c>
      <c r="E355" s="10">
        <v>125</v>
      </c>
      <c r="F355" s="10">
        <v>278</v>
      </c>
      <c r="G355" s="52">
        <v>25</v>
      </c>
      <c r="H355" s="10">
        <v>1</v>
      </c>
      <c r="I355" s="53"/>
      <c r="J355" s="3" t="s">
        <v>537</v>
      </c>
      <c r="K355" s="10" t="s">
        <v>34</v>
      </c>
      <c r="L355" s="10">
        <v>1</v>
      </c>
      <c r="M355" s="3"/>
      <c r="N355" s="3"/>
      <c r="O355" s="3"/>
      <c r="P355" s="3"/>
      <c r="Q355" s="3"/>
      <c r="R355" s="10" t="s">
        <v>56</v>
      </c>
      <c r="S355" s="10"/>
      <c r="T355" s="3"/>
      <c r="V355" s="37" t="s">
        <v>526</v>
      </c>
    </row>
    <row r="356" s="2" customFormat="1" ht="15.75" spans="2:22">
      <c r="B356" s="51">
        <v>43</v>
      </c>
      <c r="C356" s="2">
        <v>355</v>
      </c>
      <c r="D356" s="10" t="s">
        <v>539</v>
      </c>
      <c r="E356" s="10">
        <v>96</v>
      </c>
      <c r="F356" s="10">
        <v>165</v>
      </c>
      <c r="G356" s="52">
        <v>376</v>
      </c>
      <c r="H356" s="10">
        <v>1</v>
      </c>
      <c r="I356" s="53" t="s">
        <v>540</v>
      </c>
      <c r="J356" s="3" t="s">
        <v>541</v>
      </c>
      <c r="K356" s="10" t="s">
        <v>34</v>
      </c>
      <c r="L356" s="10">
        <v>1</v>
      </c>
      <c r="M356" s="3"/>
      <c r="N356" s="3"/>
      <c r="O356" s="3"/>
      <c r="P356" s="3"/>
      <c r="Q356" s="3"/>
      <c r="R356" s="10" t="s">
        <v>56</v>
      </c>
      <c r="S356" s="10"/>
      <c r="T356" s="3"/>
      <c r="V356" s="37" t="s">
        <v>542</v>
      </c>
    </row>
    <row r="357" s="2" customFormat="1" ht="15.75" spans="2:22">
      <c r="B357" s="51">
        <v>44</v>
      </c>
      <c r="C357" s="2">
        <v>356</v>
      </c>
      <c r="D357" s="10" t="s">
        <v>543</v>
      </c>
      <c r="E357" s="10">
        <v>100</v>
      </c>
      <c r="F357" s="10">
        <v>172</v>
      </c>
      <c r="G357" s="52">
        <v>208</v>
      </c>
      <c r="H357" s="10">
        <v>1</v>
      </c>
      <c r="I357" s="53" t="s">
        <v>544</v>
      </c>
      <c r="J357" s="3" t="s">
        <v>545</v>
      </c>
      <c r="K357" s="10" t="s">
        <v>34</v>
      </c>
      <c r="L357" s="10">
        <v>1</v>
      </c>
      <c r="M357" s="3" t="s">
        <v>546</v>
      </c>
      <c r="N357" s="3" t="s">
        <v>547</v>
      </c>
      <c r="O357" s="3"/>
      <c r="P357" s="3"/>
      <c r="Q357" s="3"/>
      <c r="R357" s="10" t="s">
        <v>56</v>
      </c>
      <c r="S357" s="10"/>
      <c r="T357" s="3"/>
      <c r="V357" s="37" t="s">
        <v>548</v>
      </c>
    </row>
    <row r="358" s="2" customFormat="1" ht="15.75" spans="2:22">
      <c r="B358" s="51">
        <v>45</v>
      </c>
      <c r="C358" s="2">
        <v>357</v>
      </c>
      <c r="D358" s="10" t="s">
        <v>549</v>
      </c>
      <c r="E358" s="10">
        <v>101</v>
      </c>
      <c r="F358" s="10">
        <v>176</v>
      </c>
      <c r="G358" s="52">
        <v>177</v>
      </c>
      <c r="H358" s="10">
        <v>1</v>
      </c>
      <c r="I358" s="53" t="s">
        <v>550</v>
      </c>
      <c r="J358" s="3" t="s">
        <v>545</v>
      </c>
      <c r="K358" s="10" t="s">
        <v>34</v>
      </c>
      <c r="L358" s="10">
        <v>1</v>
      </c>
      <c r="M358" s="3" t="s">
        <v>551</v>
      </c>
      <c r="N358" s="3" t="s">
        <v>552</v>
      </c>
      <c r="O358" s="3"/>
      <c r="P358" s="3"/>
      <c r="Q358" s="3"/>
      <c r="R358" s="10" t="s">
        <v>56</v>
      </c>
      <c r="S358" s="10"/>
      <c r="T358" s="3"/>
      <c r="V358" s="37" t="s">
        <v>553</v>
      </c>
    </row>
    <row r="359" s="2" customFormat="1" ht="15.75" spans="2:22">
      <c r="B359" s="51">
        <v>46</v>
      </c>
      <c r="C359" s="2">
        <v>358</v>
      </c>
      <c r="D359" s="10" t="s">
        <v>554</v>
      </c>
      <c r="E359" s="10">
        <v>101</v>
      </c>
      <c r="F359" s="10">
        <v>179</v>
      </c>
      <c r="G359" s="52">
        <v>154</v>
      </c>
      <c r="H359" s="10">
        <v>1</v>
      </c>
      <c r="I359" s="53" t="s">
        <v>555</v>
      </c>
      <c r="J359" s="3" t="s">
        <v>556</v>
      </c>
      <c r="K359" s="10" t="s">
        <v>34</v>
      </c>
      <c r="L359" s="10">
        <v>1</v>
      </c>
      <c r="M359" s="3" t="s">
        <v>557</v>
      </c>
      <c r="N359" s="3" t="s">
        <v>558</v>
      </c>
      <c r="O359" s="3"/>
      <c r="P359" s="3"/>
      <c r="Q359" s="3"/>
      <c r="R359" s="10" t="s">
        <v>56</v>
      </c>
      <c r="S359" s="10"/>
      <c r="T359" s="3"/>
      <c r="V359" s="37" t="s">
        <v>559</v>
      </c>
    </row>
    <row r="360" s="2" customFormat="1" ht="15.75" spans="2:22">
      <c r="B360" s="51">
        <v>47</v>
      </c>
      <c r="C360" s="2">
        <v>359</v>
      </c>
      <c r="D360" s="10" t="s">
        <v>560</v>
      </c>
      <c r="E360" s="10">
        <v>109</v>
      </c>
      <c r="F360" s="10">
        <v>184</v>
      </c>
      <c r="G360" s="52">
        <v>115</v>
      </c>
      <c r="H360" s="10">
        <v>1</v>
      </c>
      <c r="I360" s="53" t="s">
        <v>561</v>
      </c>
      <c r="J360" s="3" t="s">
        <v>556</v>
      </c>
      <c r="K360" s="10" t="s">
        <v>34</v>
      </c>
      <c r="L360" s="10">
        <v>1</v>
      </c>
      <c r="M360" s="3" t="s">
        <v>562</v>
      </c>
      <c r="N360" s="3" t="s">
        <v>563</v>
      </c>
      <c r="O360" s="3"/>
      <c r="P360" s="3"/>
      <c r="Q360" s="3"/>
      <c r="R360" s="10" t="s">
        <v>56</v>
      </c>
      <c r="S360" s="10"/>
      <c r="T360" s="3"/>
      <c r="V360" s="37" t="s">
        <v>564</v>
      </c>
    </row>
    <row r="361" s="2" customFormat="1" ht="15.75" spans="2:22">
      <c r="B361" s="51">
        <v>48</v>
      </c>
      <c r="C361" s="2">
        <v>360</v>
      </c>
      <c r="D361" s="10" t="s">
        <v>565</v>
      </c>
      <c r="E361" s="10">
        <v>103</v>
      </c>
      <c r="F361" s="10">
        <v>183</v>
      </c>
      <c r="G361" s="52">
        <v>144</v>
      </c>
      <c r="H361" s="10">
        <v>1</v>
      </c>
      <c r="I361" s="53" t="s">
        <v>566</v>
      </c>
      <c r="J361" s="3" t="s">
        <v>556</v>
      </c>
      <c r="K361" s="10" t="s">
        <v>34</v>
      </c>
      <c r="L361" s="10">
        <v>1</v>
      </c>
      <c r="M361" s="3" t="s">
        <v>567</v>
      </c>
      <c r="N361" s="3" t="s">
        <v>568</v>
      </c>
      <c r="O361" s="3"/>
      <c r="P361" s="3"/>
      <c r="Q361" s="3"/>
      <c r="R361" s="10" t="s">
        <v>56</v>
      </c>
      <c r="S361" s="10"/>
      <c r="T361" s="3"/>
      <c r="V361" s="37" t="s">
        <v>569</v>
      </c>
    </row>
    <row r="362" s="2" customFormat="1" ht="15.75" spans="2:22">
      <c r="B362" s="51">
        <v>49</v>
      </c>
      <c r="C362" s="2">
        <v>361</v>
      </c>
      <c r="D362" s="10" t="s">
        <v>570</v>
      </c>
      <c r="E362" s="10">
        <v>110</v>
      </c>
      <c r="F362" s="10">
        <v>187</v>
      </c>
      <c r="G362" s="52">
        <v>102</v>
      </c>
      <c r="H362" s="10">
        <v>1</v>
      </c>
      <c r="I362" s="53"/>
      <c r="J362" s="3" t="s">
        <v>541</v>
      </c>
      <c r="K362" s="10" t="s">
        <v>34</v>
      </c>
      <c r="L362" s="10">
        <v>1</v>
      </c>
      <c r="M362" s="3"/>
      <c r="N362" s="3"/>
      <c r="O362" s="3"/>
      <c r="P362" s="3"/>
      <c r="Q362" s="3"/>
      <c r="R362" s="10" t="s">
        <v>56</v>
      </c>
      <c r="S362" s="10"/>
      <c r="T362" s="3"/>
      <c r="V362" s="37" t="s">
        <v>571</v>
      </c>
    </row>
    <row r="363" s="2" customFormat="1" ht="15.75" spans="2:22">
      <c r="B363" s="51">
        <v>50</v>
      </c>
      <c r="C363" s="2">
        <v>362</v>
      </c>
      <c r="D363" s="10" t="s">
        <v>572</v>
      </c>
      <c r="E363" s="10">
        <v>111</v>
      </c>
      <c r="F363" s="10">
        <v>193</v>
      </c>
      <c r="G363" s="52">
        <v>110</v>
      </c>
      <c r="H363" s="10">
        <v>1</v>
      </c>
      <c r="I363" s="53"/>
      <c r="J363" s="3" t="s">
        <v>541</v>
      </c>
      <c r="K363" s="10" t="s">
        <v>34</v>
      </c>
      <c r="L363" s="10">
        <v>1</v>
      </c>
      <c r="M363" s="3"/>
      <c r="N363" s="3"/>
      <c r="O363" s="3"/>
      <c r="P363" s="3"/>
      <c r="Q363" s="3"/>
      <c r="R363" s="10" t="s">
        <v>56</v>
      </c>
      <c r="S363" s="10"/>
      <c r="T363" s="3"/>
      <c r="V363" s="37" t="s">
        <v>571</v>
      </c>
    </row>
    <row r="364" s="2" customFormat="1" ht="15.75" spans="2:22">
      <c r="B364" s="51">
        <v>51</v>
      </c>
      <c r="C364" s="2">
        <v>363</v>
      </c>
      <c r="D364" s="10" t="s">
        <v>573</v>
      </c>
      <c r="E364" s="10">
        <v>69</v>
      </c>
      <c r="F364" s="10">
        <v>151</v>
      </c>
      <c r="G364" s="52">
        <v>100</v>
      </c>
      <c r="H364" s="10">
        <v>1</v>
      </c>
      <c r="I364" s="53"/>
      <c r="J364" s="3" t="s">
        <v>574</v>
      </c>
      <c r="K364" s="10" t="s">
        <v>34</v>
      </c>
      <c r="L364" s="10">
        <v>1</v>
      </c>
      <c r="M364" s="3"/>
      <c r="N364" s="3"/>
      <c r="O364" s="3"/>
      <c r="P364" s="3"/>
      <c r="Q364" s="3"/>
      <c r="R364" s="10" t="s">
        <v>56</v>
      </c>
      <c r="S364" s="10"/>
      <c r="T364" s="3"/>
      <c r="V364" s="37" t="s">
        <v>575</v>
      </c>
    </row>
    <row r="365" s="2" customFormat="1" ht="15.75" spans="2:22">
      <c r="B365" s="51">
        <v>52</v>
      </c>
      <c r="C365" s="2">
        <v>364</v>
      </c>
      <c r="D365" s="10" t="s">
        <v>576</v>
      </c>
      <c r="E365" s="10">
        <v>72</v>
      </c>
      <c r="F365" s="10">
        <v>161</v>
      </c>
      <c r="G365" s="52">
        <v>50</v>
      </c>
      <c r="H365" s="10">
        <v>1</v>
      </c>
      <c r="I365" s="53"/>
      <c r="J365" s="3" t="s">
        <v>577</v>
      </c>
      <c r="K365" s="10" t="s">
        <v>34</v>
      </c>
      <c r="L365" s="10">
        <v>1</v>
      </c>
      <c r="M365" s="3"/>
      <c r="N365" s="3"/>
      <c r="O365" s="3"/>
      <c r="P365" s="3"/>
      <c r="Q365" s="3"/>
      <c r="R365" s="10" t="s">
        <v>56</v>
      </c>
      <c r="S365" s="10"/>
      <c r="T365" s="3"/>
      <c r="V365" s="37" t="s">
        <v>578</v>
      </c>
    </row>
    <row r="366" s="2" customFormat="1" ht="15.75" spans="2:22">
      <c r="B366" s="51">
        <v>53</v>
      </c>
      <c r="C366" s="2">
        <v>365</v>
      </c>
      <c r="D366" s="10" t="s">
        <v>579</v>
      </c>
      <c r="E366" s="10">
        <v>84</v>
      </c>
      <c r="F366" s="10">
        <v>187</v>
      </c>
      <c r="G366" s="52">
        <v>40</v>
      </c>
      <c r="H366" s="10">
        <v>1</v>
      </c>
      <c r="I366" s="53"/>
      <c r="J366" s="3" t="s">
        <v>580</v>
      </c>
      <c r="K366" s="10" t="s">
        <v>34</v>
      </c>
      <c r="L366" s="10">
        <v>1</v>
      </c>
      <c r="M366" s="3"/>
      <c r="N366" s="3"/>
      <c r="O366" s="3"/>
      <c r="P366" s="3"/>
      <c r="Q366" s="3"/>
      <c r="R366" s="10" t="s">
        <v>56</v>
      </c>
      <c r="S366" s="10"/>
      <c r="T366" s="3"/>
      <c r="V366" s="37" t="s">
        <v>581</v>
      </c>
    </row>
    <row r="367" s="2" customFormat="1" ht="15.75" spans="2:22">
      <c r="B367" s="51">
        <v>54</v>
      </c>
      <c r="C367" s="2">
        <v>366</v>
      </c>
      <c r="D367" s="10" t="s">
        <v>582</v>
      </c>
      <c r="E367" s="10">
        <v>88</v>
      </c>
      <c r="F367" s="10">
        <v>195</v>
      </c>
      <c r="G367" s="52">
        <v>40</v>
      </c>
      <c r="H367" s="10">
        <v>1</v>
      </c>
      <c r="I367" s="53"/>
      <c r="J367" s="3" t="s">
        <v>583</v>
      </c>
      <c r="K367" s="10" t="s">
        <v>34</v>
      </c>
      <c r="L367" s="10">
        <v>1</v>
      </c>
      <c r="M367" s="3"/>
      <c r="N367" s="3"/>
      <c r="O367" s="3"/>
      <c r="P367" s="3"/>
      <c r="Q367" s="3"/>
      <c r="R367" s="10" t="s">
        <v>56</v>
      </c>
      <c r="S367" s="10"/>
      <c r="T367" s="3"/>
      <c r="V367" s="37" t="s">
        <v>584</v>
      </c>
    </row>
    <row r="368" s="2" customFormat="1" ht="15.75" spans="2:22">
      <c r="B368" s="51">
        <v>55</v>
      </c>
      <c r="C368" s="2">
        <v>367</v>
      </c>
      <c r="D368" s="10" t="s">
        <v>585</v>
      </c>
      <c r="E368" s="10">
        <v>78</v>
      </c>
      <c r="F368" s="10">
        <v>173</v>
      </c>
      <c r="G368" s="52">
        <v>40</v>
      </c>
      <c r="H368" s="10">
        <v>1</v>
      </c>
      <c r="I368" s="53"/>
      <c r="J368" s="3" t="s">
        <v>586</v>
      </c>
      <c r="K368" s="10" t="s">
        <v>34</v>
      </c>
      <c r="L368" s="10">
        <v>1</v>
      </c>
      <c r="M368" s="3"/>
      <c r="N368" s="3"/>
      <c r="O368" s="3"/>
      <c r="P368" s="3"/>
      <c r="Q368" s="3"/>
      <c r="R368" s="10" t="s">
        <v>56</v>
      </c>
      <c r="S368" s="10"/>
      <c r="T368" s="3"/>
      <c r="V368" s="37" t="s">
        <v>587</v>
      </c>
    </row>
    <row r="369" s="2" customFormat="1" ht="15.75" spans="2:22">
      <c r="B369" s="51">
        <v>56</v>
      </c>
      <c r="C369" s="2">
        <v>368</v>
      </c>
      <c r="D369" s="10" t="s">
        <v>588</v>
      </c>
      <c r="E369" s="10">
        <v>77</v>
      </c>
      <c r="F369" s="10">
        <v>93</v>
      </c>
      <c r="G369" s="52">
        <v>60</v>
      </c>
      <c r="H369" s="10">
        <v>1</v>
      </c>
      <c r="I369" s="53"/>
      <c r="J369" s="3" t="s">
        <v>589</v>
      </c>
      <c r="K369" s="10" t="s">
        <v>34</v>
      </c>
      <c r="L369" s="10">
        <v>1</v>
      </c>
      <c r="M369" s="3"/>
      <c r="N369" s="3"/>
      <c r="O369" s="3"/>
      <c r="P369" s="3"/>
      <c r="Q369" s="3"/>
      <c r="R369" s="10" t="s">
        <v>56</v>
      </c>
      <c r="S369" s="10"/>
      <c r="T369" s="3"/>
      <c r="V369" s="37" t="s">
        <v>590</v>
      </c>
    </row>
    <row r="370" s="2" customFormat="1" ht="15.75" spans="2:22">
      <c r="B370" s="51">
        <v>57</v>
      </c>
      <c r="C370" s="2">
        <v>369</v>
      </c>
      <c r="D370" s="10" t="s">
        <v>591</v>
      </c>
      <c r="E370" s="10">
        <v>80</v>
      </c>
      <c r="F370" s="10">
        <v>99</v>
      </c>
      <c r="G370" s="52">
        <v>50</v>
      </c>
      <c r="H370" s="10">
        <v>1</v>
      </c>
      <c r="I370" s="53"/>
      <c r="J370" s="3" t="s">
        <v>592</v>
      </c>
      <c r="K370" s="10" t="s">
        <v>34</v>
      </c>
      <c r="L370" s="10">
        <v>1</v>
      </c>
      <c r="M370" s="3"/>
      <c r="N370" s="3"/>
      <c r="O370" s="3"/>
      <c r="P370" s="3"/>
      <c r="Q370" s="3"/>
      <c r="R370" s="10" t="s">
        <v>56</v>
      </c>
      <c r="S370" s="10"/>
      <c r="T370" s="3"/>
      <c r="V370" s="37" t="s">
        <v>590</v>
      </c>
    </row>
    <row r="371" s="2" customFormat="1" ht="15.75" spans="2:22">
      <c r="B371" s="51">
        <v>58</v>
      </c>
      <c r="C371" s="2">
        <v>370</v>
      </c>
      <c r="D371" s="10" t="s">
        <v>593</v>
      </c>
      <c r="E371" s="10">
        <v>91</v>
      </c>
      <c r="F371" s="10">
        <v>114</v>
      </c>
      <c r="G371" s="52">
        <v>50</v>
      </c>
      <c r="H371" s="10">
        <v>1</v>
      </c>
      <c r="I371" s="53"/>
      <c r="J371" s="3" t="s">
        <v>594</v>
      </c>
      <c r="K371" s="10" t="s">
        <v>34</v>
      </c>
      <c r="L371" s="10">
        <v>1</v>
      </c>
      <c r="M371" s="3"/>
      <c r="N371" s="3"/>
      <c r="O371" s="3"/>
      <c r="P371" s="3"/>
      <c r="Q371" s="3"/>
      <c r="R371" s="10" t="s">
        <v>56</v>
      </c>
      <c r="S371" s="10"/>
      <c r="T371" s="3"/>
      <c r="V371" s="37" t="s">
        <v>590</v>
      </c>
    </row>
    <row r="372" s="2" customFormat="1" ht="15.75" spans="2:22">
      <c r="B372" s="51">
        <v>59</v>
      </c>
      <c r="C372" s="2">
        <v>371</v>
      </c>
      <c r="D372" s="10" t="s">
        <v>595</v>
      </c>
      <c r="E372" s="10">
        <v>89</v>
      </c>
      <c r="F372" s="10">
        <v>113</v>
      </c>
      <c r="G372" s="52">
        <v>40</v>
      </c>
      <c r="H372" s="10">
        <v>1</v>
      </c>
      <c r="I372" s="53"/>
      <c r="J372" s="3" t="s">
        <v>596</v>
      </c>
      <c r="K372" s="10" t="s">
        <v>34</v>
      </c>
      <c r="L372" s="10">
        <v>1</v>
      </c>
      <c r="M372" s="3"/>
      <c r="N372" s="3"/>
      <c r="O372" s="3"/>
      <c r="P372" s="3"/>
      <c r="Q372" s="3"/>
      <c r="R372" s="10" t="s">
        <v>56</v>
      </c>
      <c r="S372" s="10"/>
      <c r="T372" s="3"/>
      <c r="V372" s="37" t="s">
        <v>590</v>
      </c>
    </row>
    <row r="373" s="2" customFormat="1" ht="15.75" spans="2:22">
      <c r="B373" s="51">
        <v>60</v>
      </c>
      <c r="C373" s="2">
        <v>372</v>
      </c>
      <c r="D373" s="10" t="s">
        <v>588</v>
      </c>
      <c r="E373" s="10">
        <v>121</v>
      </c>
      <c r="F373" s="10">
        <v>140</v>
      </c>
      <c r="G373" s="52">
        <v>60</v>
      </c>
      <c r="H373" s="10">
        <v>1</v>
      </c>
      <c r="I373" s="53"/>
      <c r="J373" s="3" t="s">
        <v>589</v>
      </c>
      <c r="K373" s="10" t="s">
        <v>34</v>
      </c>
      <c r="L373" s="10">
        <v>1</v>
      </c>
      <c r="M373" s="3"/>
      <c r="N373" s="3"/>
      <c r="O373" s="3"/>
      <c r="P373" s="3"/>
      <c r="Q373" s="3"/>
      <c r="R373" s="10" t="s">
        <v>597</v>
      </c>
      <c r="S373" s="10" t="s">
        <v>598</v>
      </c>
      <c r="T373" s="3"/>
      <c r="V373" s="37" t="s">
        <v>590</v>
      </c>
    </row>
    <row r="374" s="2" customFormat="1" ht="15.75" spans="2:22">
      <c r="B374" s="51">
        <v>61</v>
      </c>
      <c r="C374" s="2">
        <v>373</v>
      </c>
      <c r="D374" s="10" t="s">
        <v>591</v>
      </c>
      <c r="E374" s="10">
        <v>126</v>
      </c>
      <c r="F374" s="10">
        <v>147</v>
      </c>
      <c r="G374" s="52">
        <v>50</v>
      </c>
      <c r="H374" s="10">
        <v>1</v>
      </c>
      <c r="I374" s="53"/>
      <c r="J374" s="3" t="s">
        <v>594</v>
      </c>
      <c r="K374" s="10" t="s">
        <v>34</v>
      </c>
      <c r="L374" s="10">
        <v>1</v>
      </c>
      <c r="M374" s="3"/>
      <c r="N374" s="3"/>
      <c r="O374" s="3"/>
      <c r="P374" s="3"/>
      <c r="Q374" s="3"/>
      <c r="R374" s="10" t="s">
        <v>597</v>
      </c>
      <c r="S374" s="10" t="s">
        <v>598</v>
      </c>
      <c r="T374" s="3"/>
      <c r="V374" s="37" t="s">
        <v>590</v>
      </c>
    </row>
    <row r="375" s="2" customFormat="1" ht="15.75" spans="2:22">
      <c r="B375" s="51">
        <v>62</v>
      </c>
      <c r="C375" s="2">
        <v>374</v>
      </c>
      <c r="D375" s="10" t="s">
        <v>593</v>
      </c>
      <c r="E375" s="10">
        <v>132</v>
      </c>
      <c r="F375" s="10">
        <v>159</v>
      </c>
      <c r="G375" s="52">
        <v>50</v>
      </c>
      <c r="H375" s="10">
        <v>1</v>
      </c>
      <c r="I375" s="53"/>
      <c r="J375" s="3" t="s">
        <v>599</v>
      </c>
      <c r="K375" s="10" t="s">
        <v>34</v>
      </c>
      <c r="L375" s="10">
        <v>1</v>
      </c>
      <c r="M375" s="3"/>
      <c r="N375" s="3"/>
      <c r="O375" s="3"/>
      <c r="P375" s="3"/>
      <c r="Q375" s="3"/>
      <c r="R375" s="10" t="s">
        <v>597</v>
      </c>
      <c r="S375" s="10" t="s">
        <v>598</v>
      </c>
      <c r="T375" s="3"/>
      <c r="V375" s="37" t="s">
        <v>590</v>
      </c>
    </row>
    <row r="376" s="2" customFormat="1" ht="15.75" spans="2:22">
      <c r="B376" s="51">
        <v>63</v>
      </c>
      <c r="C376" s="2">
        <v>375</v>
      </c>
      <c r="D376" s="10" t="s">
        <v>595</v>
      </c>
      <c r="E376" s="10">
        <v>129</v>
      </c>
      <c r="F376" s="10">
        <v>150</v>
      </c>
      <c r="G376" s="52">
        <v>40</v>
      </c>
      <c r="H376" s="10">
        <v>1</v>
      </c>
      <c r="I376" s="53"/>
      <c r="J376" s="3" t="s">
        <v>599</v>
      </c>
      <c r="K376" s="10" t="s">
        <v>34</v>
      </c>
      <c r="L376" s="10">
        <v>1</v>
      </c>
      <c r="M376" s="3"/>
      <c r="N376" s="3"/>
      <c r="O376" s="3"/>
      <c r="P376" s="3"/>
      <c r="Q376" s="3"/>
      <c r="R376" s="10" t="s">
        <v>597</v>
      </c>
      <c r="S376" s="10" t="s">
        <v>598</v>
      </c>
      <c r="T376" s="3"/>
      <c r="V376" s="37" t="s">
        <v>590</v>
      </c>
    </row>
    <row r="377" s="2" customFormat="1" ht="15.75" spans="2:22">
      <c r="B377" s="51">
        <v>64</v>
      </c>
      <c r="C377" s="2">
        <v>376</v>
      </c>
      <c r="D377" s="10" t="s">
        <v>588</v>
      </c>
      <c r="E377" s="10">
        <v>147</v>
      </c>
      <c r="F377" s="10">
        <v>175</v>
      </c>
      <c r="G377" s="52">
        <v>60</v>
      </c>
      <c r="H377" s="10">
        <v>1</v>
      </c>
      <c r="I377" s="53"/>
      <c r="J377" s="3" t="s">
        <v>600</v>
      </c>
      <c r="K377" s="10" t="s">
        <v>34</v>
      </c>
      <c r="L377" s="10">
        <v>1</v>
      </c>
      <c r="M377" s="3"/>
      <c r="N377" s="3"/>
      <c r="O377" s="3"/>
      <c r="P377" s="3"/>
      <c r="Q377" s="3"/>
      <c r="R377" s="10" t="s">
        <v>601</v>
      </c>
      <c r="S377" s="10" t="s">
        <v>602</v>
      </c>
      <c r="T377" s="3"/>
      <c r="V377" s="37" t="s">
        <v>590</v>
      </c>
    </row>
    <row r="378" s="2" customFormat="1" ht="15.75" spans="2:22">
      <c r="B378" s="51">
        <v>65</v>
      </c>
      <c r="C378" s="2">
        <v>377</v>
      </c>
      <c r="D378" s="10" t="s">
        <v>591</v>
      </c>
      <c r="E378" s="10">
        <v>156</v>
      </c>
      <c r="F378" s="10">
        <v>183</v>
      </c>
      <c r="G378" s="52">
        <v>50</v>
      </c>
      <c r="H378" s="10">
        <v>1</v>
      </c>
      <c r="I378" s="53"/>
      <c r="J378" s="3" t="s">
        <v>600</v>
      </c>
      <c r="K378" s="10" t="s">
        <v>34</v>
      </c>
      <c r="L378" s="10">
        <v>1</v>
      </c>
      <c r="M378" s="3"/>
      <c r="N378" s="3"/>
      <c r="O378" s="3"/>
      <c r="P378" s="3"/>
      <c r="Q378" s="3"/>
      <c r="R378" s="10" t="s">
        <v>601</v>
      </c>
      <c r="S378" s="10" t="s">
        <v>602</v>
      </c>
      <c r="T378" s="3"/>
      <c r="V378" s="37" t="s">
        <v>590</v>
      </c>
    </row>
    <row r="379" s="2" customFormat="1" ht="15.75" spans="2:22">
      <c r="B379" s="51">
        <v>66</v>
      </c>
      <c r="C379" s="2">
        <v>378</v>
      </c>
      <c r="D379" s="10" t="s">
        <v>593</v>
      </c>
      <c r="E379" s="10">
        <v>169</v>
      </c>
      <c r="F379" s="10">
        <v>193</v>
      </c>
      <c r="G379" s="52">
        <v>50</v>
      </c>
      <c r="H379" s="10">
        <v>1</v>
      </c>
      <c r="I379" s="53"/>
      <c r="J379" s="3" t="s">
        <v>600</v>
      </c>
      <c r="K379" s="10" t="s">
        <v>34</v>
      </c>
      <c r="L379" s="10">
        <v>1</v>
      </c>
      <c r="M379" s="3"/>
      <c r="N379" s="3"/>
      <c r="O379" s="3"/>
      <c r="P379" s="3"/>
      <c r="Q379" s="3"/>
      <c r="R379" s="10" t="s">
        <v>601</v>
      </c>
      <c r="S379" s="10" t="s">
        <v>602</v>
      </c>
      <c r="T379" s="3"/>
      <c r="V379" s="37" t="s">
        <v>590</v>
      </c>
    </row>
    <row r="380" s="2" customFormat="1" ht="15.75" spans="2:22">
      <c r="B380" s="51">
        <v>67</v>
      </c>
      <c r="C380" s="2">
        <v>379</v>
      </c>
      <c r="D380" s="10" t="s">
        <v>595</v>
      </c>
      <c r="E380" s="10">
        <v>162</v>
      </c>
      <c r="F380" s="10">
        <v>190</v>
      </c>
      <c r="G380" s="52">
        <v>40</v>
      </c>
      <c r="H380" s="10">
        <v>1</v>
      </c>
      <c r="I380" s="53"/>
      <c r="J380" s="3" t="s">
        <v>603</v>
      </c>
      <c r="K380" s="10" t="s">
        <v>34</v>
      </c>
      <c r="L380" s="10">
        <v>1</v>
      </c>
      <c r="M380" s="3"/>
      <c r="N380" s="3"/>
      <c r="O380" s="3"/>
      <c r="P380" s="3"/>
      <c r="Q380" s="3"/>
      <c r="R380" s="10" t="s">
        <v>601</v>
      </c>
      <c r="S380" s="10" t="s">
        <v>602</v>
      </c>
      <c r="T380" s="3"/>
      <c r="V380" s="37" t="s">
        <v>590</v>
      </c>
    </row>
    <row r="381" s="2" customFormat="1" ht="15.75" spans="2:22">
      <c r="B381" s="51">
        <v>68</v>
      </c>
      <c r="C381" s="2">
        <v>380</v>
      </c>
      <c r="D381" s="10" t="s">
        <v>604</v>
      </c>
      <c r="E381" s="10">
        <v>101</v>
      </c>
      <c r="F381" s="10">
        <v>190</v>
      </c>
      <c r="G381" s="52">
        <v>300</v>
      </c>
      <c r="H381" s="10">
        <v>1</v>
      </c>
      <c r="I381" s="53"/>
      <c r="J381" s="3" t="s">
        <v>605</v>
      </c>
      <c r="K381" s="10" t="s">
        <v>34</v>
      </c>
      <c r="L381" s="10">
        <v>1</v>
      </c>
      <c r="M381" s="3"/>
      <c r="N381" s="3"/>
      <c r="O381" s="3"/>
      <c r="P381" s="3"/>
      <c r="Q381" s="3"/>
      <c r="R381" s="10" t="s">
        <v>56</v>
      </c>
      <c r="S381" s="10"/>
      <c r="T381" s="3"/>
      <c r="V381" s="37" t="s">
        <v>606</v>
      </c>
    </row>
    <row r="382" s="2" customFormat="1" ht="15.75" spans="2:22">
      <c r="B382" s="51">
        <v>69</v>
      </c>
      <c r="C382" s="2">
        <v>381</v>
      </c>
      <c r="D382" s="10" t="s">
        <v>607</v>
      </c>
      <c r="E382" s="10">
        <v>118</v>
      </c>
      <c r="F382" s="10">
        <v>225</v>
      </c>
      <c r="G382" s="52">
        <v>300</v>
      </c>
      <c r="H382" s="10">
        <v>1</v>
      </c>
      <c r="I382" s="53"/>
      <c r="J382" s="3" t="s">
        <v>608</v>
      </c>
      <c r="K382" s="10" t="s">
        <v>34</v>
      </c>
      <c r="L382" s="10">
        <v>1</v>
      </c>
      <c r="M382" s="3"/>
      <c r="N382" s="3"/>
      <c r="O382" s="3"/>
      <c r="P382" s="3"/>
      <c r="Q382" s="3"/>
      <c r="R382" s="10" t="s">
        <v>56</v>
      </c>
      <c r="S382" s="10"/>
      <c r="T382" s="3"/>
      <c r="V382" s="37" t="s">
        <v>609</v>
      </c>
    </row>
    <row r="383" s="2" customFormat="1" ht="15.75" spans="2:22">
      <c r="B383" s="51">
        <v>70</v>
      </c>
      <c r="C383" s="2">
        <v>382</v>
      </c>
      <c r="D383" s="10" t="s">
        <v>610</v>
      </c>
      <c r="E383" s="10">
        <v>122</v>
      </c>
      <c r="F383" s="10">
        <v>215</v>
      </c>
      <c r="G383" s="52">
        <v>500</v>
      </c>
      <c r="H383" s="10">
        <v>1</v>
      </c>
      <c r="I383" s="53"/>
      <c r="J383" s="3" t="s">
        <v>608</v>
      </c>
      <c r="K383" s="10" t="s">
        <v>34</v>
      </c>
      <c r="L383" s="10">
        <v>1</v>
      </c>
      <c r="M383" s="3"/>
      <c r="N383" s="3"/>
      <c r="O383" s="3"/>
      <c r="P383" s="3"/>
      <c r="Q383" s="3"/>
      <c r="R383" s="10" t="s">
        <v>56</v>
      </c>
      <c r="S383" s="10"/>
      <c r="T383" s="3"/>
      <c r="V383" s="37" t="s">
        <v>611</v>
      </c>
    </row>
    <row r="384" s="2" customFormat="1" ht="15.75" spans="2:22">
      <c r="B384" s="51">
        <v>71</v>
      </c>
      <c r="C384" s="2">
        <v>383</v>
      </c>
      <c r="D384" s="10" t="s">
        <v>612</v>
      </c>
      <c r="E384" s="10">
        <v>127</v>
      </c>
      <c r="F384" s="10">
        <v>206</v>
      </c>
      <c r="G384" s="52">
        <v>250</v>
      </c>
      <c r="H384" s="10">
        <v>1</v>
      </c>
      <c r="I384" s="53"/>
      <c r="J384" s="3" t="s">
        <v>608</v>
      </c>
      <c r="K384" s="10" t="s">
        <v>34</v>
      </c>
      <c r="L384" s="10">
        <v>1</v>
      </c>
      <c r="M384" s="3"/>
      <c r="N384" s="3"/>
      <c r="O384" s="3"/>
      <c r="P384" s="3"/>
      <c r="Q384" s="3"/>
      <c r="R384" s="10" t="s">
        <v>56</v>
      </c>
      <c r="S384" s="10"/>
      <c r="T384" s="3"/>
      <c r="V384" s="37" t="s">
        <v>613</v>
      </c>
    </row>
    <row r="385" s="2" customFormat="1" ht="15.75" spans="2:22">
      <c r="B385" s="51">
        <v>72</v>
      </c>
      <c r="C385" s="2">
        <v>384</v>
      </c>
      <c r="D385" s="10" t="s">
        <v>614</v>
      </c>
      <c r="E385" s="10">
        <v>137</v>
      </c>
      <c r="F385" s="10">
        <v>203</v>
      </c>
      <c r="G385" s="52">
        <v>300</v>
      </c>
      <c r="H385" s="10">
        <v>1</v>
      </c>
      <c r="I385" s="53"/>
      <c r="J385" s="3" t="s">
        <v>608</v>
      </c>
      <c r="K385" s="10" t="s">
        <v>34</v>
      </c>
      <c r="L385" s="10">
        <v>1</v>
      </c>
      <c r="M385" s="3"/>
      <c r="N385" s="3"/>
      <c r="O385" s="3"/>
      <c r="P385" s="3"/>
      <c r="Q385" s="3"/>
      <c r="R385" s="10" t="s">
        <v>56</v>
      </c>
      <c r="S385" s="10"/>
      <c r="T385" s="3"/>
      <c r="V385" s="37" t="s">
        <v>615</v>
      </c>
    </row>
    <row r="386" s="2" customFormat="1" ht="15.75" spans="2:22">
      <c r="B386" s="51">
        <v>73</v>
      </c>
      <c r="C386" s="2">
        <v>385</v>
      </c>
      <c r="D386" s="10" t="s">
        <v>616</v>
      </c>
      <c r="E386" s="10">
        <v>125</v>
      </c>
      <c r="F386" s="10">
        <v>202</v>
      </c>
      <c r="G386" s="52">
        <v>50</v>
      </c>
      <c r="H386" s="10">
        <v>1</v>
      </c>
      <c r="I386" s="53"/>
      <c r="J386" s="3" t="s">
        <v>617</v>
      </c>
      <c r="K386" s="10" t="s">
        <v>34</v>
      </c>
      <c r="L386" s="10">
        <v>1</v>
      </c>
      <c r="M386" s="3"/>
      <c r="N386" s="3"/>
      <c r="O386" s="3"/>
      <c r="P386" s="3"/>
      <c r="Q386" s="3"/>
      <c r="R386" s="10" t="s">
        <v>56</v>
      </c>
      <c r="S386" s="10"/>
      <c r="T386" s="3"/>
      <c r="V386" s="37" t="s">
        <v>618</v>
      </c>
    </row>
    <row r="387" s="2" customFormat="1" ht="15.75" spans="2:22">
      <c r="B387" s="51">
        <v>74</v>
      </c>
      <c r="C387" s="2">
        <v>386</v>
      </c>
      <c r="D387" s="10" t="s">
        <v>619</v>
      </c>
      <c r="E387" s="10">
        <v>125</v>
      </c>
      <c r="F387" s="10">
        <v>217</v>
      </c>
      <c r="G387" s="52">
        <v>52.1</v>
      </c>
      <c r="H387" s="10">
        <v>1</v>
      </c>
      <c r="I387" s="53"/>
      <c r="J387" s="3" t="s">
        <v>620</v>
      </c>
      <c r="K387" s="10" t="s">
        <v>34</v>
      </c>
      <c r="L387" s="10">
        <v>1</v>
      </c>
      <c r="M387" s="3"/>
      <c r="N387" s="3"/>
      <c r="O387" s="3"/>
      <c r="P387" s="3"/>
      <c r="Q387" s="3"/>
      <c r="R387" s="10" t="s">
        <v>56</v>
      </c>
      <c r="S387" s="10"/>
      <c r="T387" s="3"/>
      <c r="V387" s="37" t="s">
        <v>618</v>
      </c>
    </row>
    <row r="388" s="2" customFormat="1" ht="15.75" spans="2:22">
      <c r="B388" s="51">
        <v>75</v>
      </c>
      <c r="C388" s="2">
        <v>387</v>
      </c>
      <c r="D388" s="10" t="s">
        <v>621</v>
      </c>
      <c r="E388" s="10">
        <v>122</v>
      </c>
      <c r="F388" s="10">
        <v>225</v>
      </c>
      <c r="G388" s="52">
        <v>38.2</v>
      </c>
      <c r="H388" s="10">
        <v>1</v>
      </c>
      <c r="I388" s="53"/>
      <c r="J388" s="3" t="s">
        <v>620</v>
      </c>
      <c r="K388" s="10" t="s">
        <v>34</v>
      </c>
      <c r="L388" s="10">
        <v>1</v>
      </c>
      <c r="M388" s="3"/>
      <c r="N388" s="3"/>
      <c r="O388" s="3"/>
      <c r="P388" s="3"/>
      <c r="Q388" s="3"/>
      <c r="R388" s="10" t="s">
        <v>56</v>
      </c>
      <c r="S388" s="10"/>
      <c r="T388" s="3"/>
      <c r="V388" s="37" t="s">
        <v>618</v>
      </c>
    </row>
    <row r="389" s="2" customFormat="1" ht="15.75" spans="2:22">
      <c r="B389" s="51">
        <v>76</v>
      </c>
      <c r="C389" s="2">
        <v>388</v>
      </c>
      <c r="D389" s="10" t="s">
        <v>622</v>
      </c>
      <c r="E389" s="10">
        <v>123</v>
      </c>
      <c r="F389" s="10">
        <v>235</v>
      </c>
      <c r="G389" s="52">
        <v>36.2</v>
      </c>
      <c r="H389" s="10">
        <v>1</v>
      </c>
      <c r="I389" s="53"/>
      <c r="J389" s="3" t="s">
        <v>620</v>
      </c>
      <c r="K389" s="10" t="s">
        <v>34</v>
      </c>
      <c r="L389" s="10">
        <v>1</v>
      </c>
      <c r="M389" s="3"/>
      <c r="N389" s="3"/>
      <c r="O389" s="3"/>
      <c r="P389" s="3"/>
      <c r="Q389" s="3"/>
      <c r="R389" s="10" t="s">
        <v>56</v>
      </c>
      <c r="S389" s="10"/>
      <c r="T389" s="3"/>
      <c r="V389" s="37" t="s">
        <v>618</v>
      </c>
    </row>
    <row r="390" s="2" customFormat="1" ht="15.75" spans="2:22">
      <c r="B390" s="51">
        <v>77</v>
      </c>
      <c r="C390" s="2">
        <v>389</v>
      </c>
      <c r="D390" s="10" t="s">
        <v>623</v>
      </c>
      <c r="E390" s="10">
        <v>120</v>
      </c>
      <c r="F390" s="10">
        <v>205</v>
      </c>
      <c r="G390" s="52">
        <v>42.3</v>
      </c>
      <c r="H390" s="10">
        <v>1</v>
      </c>
      <c r="I390" s="53"/>
      <c r="J390" s="3" t="s">
        <v>620</v>
      </c>
      <c r="K390" s="10" t="s">
        <v>34</v>
      </c>
      <c r="L390" s="10">
        <v>1</v>
      </c>
      <c r="M390" s="3"/>
      <c r="N390" s="3"/>
      <c r="O390" s="3"/>
      <c r="P390" s="3"/>
      <c r="Q390" s="3"/>
      <c r="R390" s="10" t="s">
        <v>56</v>
      </c>
      <c r="S390" s="10"/>
      <c r="T390" s="3"/>
      <c r="V390" s="37" t="s">
        <v>618</v>
      </c>
    </row>
    <row r="391" s="2" customFormat="1" ht="15.75" spans="2:22">
      <c r="B391" s="51">
        <v>78</v>
      </c>
      <c r="C391" s="2">
        <v>390</v>
      </c>
      <c r="D391" s="10" t="s">
        <v>616</v>
      </c>
      <c r="E391" s="10">
        <v>122</v>
      </c>
      <c r="F391" s="10">
        <v>210</v>
      </c>
      <c r="G391" s="52">
        <v>50</v>
      </c>
      <c r="H391" s="10">
        <v>1</v>
      </c>
      <c r="I391" s="53"/>
      <c r="J391" s="3" t="s">
        <v>624</v>
      </c>
      <c r="K391" s="10" t="s">
        <v>25</v>
      </c>
      <c r="L391" s="10">
        <v>1</v>
      </c>
      <c r="M391" s="3"/>
      <c r="N391" s="3"/>
      <c r="O391" s="3"/>
      <c r="P391" s="3"/>
      <c r="Q391" s="3"/>
      <c r="R391" s="10" t="s">
        <v>597</v>
      </c>
      <c r="S391" s="10" t="s">
        <v>625</v>
      </c>
      <c r="T391" s="3"/>
      <c r="V391" s="37" t="s">
        <v>618</v>
      </c>
    </row>
    <row r="392" s="2" customFormat="1" ht="15.75" spans="2:22">
      <c r="B392" s="51">
        <v>79</v>
      </c>
      <c r="C392" s="2">
        <v>391</v>
      </c>
      <c r="D392" s="10" t="s">
        <v>619</v>
      </c>
      <c r="E392" s="10">
        <v>130</v>
      </c>
      <c r="F392" s="10">
        <v>215</v>
      </c>
      <c r="G392" s="52">
        <v>179.2</v>
      </c>
      <c r="H392" s="10">
        <v>1</v>
      </c>
      <c r="I392" s="53"/>
      <c r="J392" s="3" t="s">
        <v>624</v>
      </c>
      <c r="K392" s="10" t="s">
        <v>25</v>
      </c>
      <c r="L392" s="10">
        <v>1</v>
      </c>
      <c r="M392" s="3"/>
      <c r="N392" s="3"/>
      <c r="O392" s="3"/>
      <c r="P392" s="3"/>
      <c r="Q392" s="3"/>
      <c r="R392" s="10" t="s">
        <v>597</v>
      </c>
      <c r="S392" s="10" t="s">
        <v>625</v>
      </c>
      <c r="T392" s="3"/>
      <c r="V392" s="37" t="s">
        <v>618</v>
      </c>
    </row>
    <row r="393" s="2" customFormat="1" ht="15.75" spans="2:22">
      <c r="B393" s="51">
        <v>80</v>
      </c>
      <c r="C393" s="2">
        <v>392</v>
      </c>
      <c r="D393" s="10" t="s">
        <v>621</v>
      </c>
      <c r="E393" s="10">
        <v>125</v>
      </c>
      <c r="F393" s="10">
        <v>235</v>
      </c>
      <c r="G393" s="52">
        <v>165.3</v>
      </c>
      <c r="H393" s="10">
        <v>1</v>
      </c>
      <c r="I393" s="53"/>
      <c r="J393" s="3" t="s">
        <v>624</v>
      </c>
      <c r="K393" s="10" t="s">
        <v>25</v>
      </c>
      <c r="L393" s="10">
        <v>1</v>
      </c>
      <c r="M393" s="3"/>
      <c r="N393" s="3"/>
      <c r="O393" s="3"/>
      <c r="P393" s="3"/>
      <c r="Q393" s="3"/>
      <c r="R393" s="10" t="s">
        <v>597</v>
      </c>
      <c r="S393" s="10" t="s">
        <v>625</v>
      </c>
      <c r="T393" s="3"/>
      <c r="V393" s="37" t="s">
        <v>618</v>
      </c>
    </row>
    <row r="394" s="2" customFormat="1" ht="15.75" spans="2:22">
      <c r="B394" s="51">
        <v>81</v>
      </c>
      <c r="C394" s="2">
        <v>393</v>
      </c>
      <c r="D394" s="10" t="s">
        <v>622</v>
      </c>
      <c r="E394" s="10">
        <v>125</v>
      </c>
      <c r="F394" s="10">
        <v>255</v>
      </c>
      <c r="G394" s="52">
        <v>101.5</v>
      </c>
      <c r="H394" s="10">
        <v>1</v>
      </c>
      <c r="I394" s="53"/>
      <c r="J394" s="3" t="s">
        <v>624</v>
      </c>
      <c r="K394" s="10" t="s">
        <v>25</v>
      </c>
      <c r="L394" s="10">
        <v>1</v>
      </c>
      <c r="M394" s="3"/>
      <c r="N394" s="3"/>
      <c r="O394" s="3"/>
      <c r="P394" s="3"/>
      <c r="Q394" s="3"/>
      <c r="R394" s="10" t="s">
        <v>597</v>
      </c>
      <c r="S394" s="10" t="s">
        <v>625</v>
      </c>
      <c r="T394" s="3"/>
      <c r="V394" s="37" t="s">
        <v>618</v>
      </c>
    </row>
    <row r="395" s="2" customFormat="1" ht="15.75" spans="2:22">
      <c r="B395" s="51">
        <v>82</v>
      </c>
      <c r="C395" s="2">
        <v>394</v>
      </c>
      <c r="D395" s="10" t="s">
        <v>623</v>
      </c>
      <c r="E395" s="10">
        <v>125</v>
      </c>
      <c r="F395" s="10">
        <v>230</v>
      </c>
      <c r="G395" s="52">
        <v>116.7</v>
      </c>
      <c r="H395" s="10">
        <v>1</v>
      </c>
      <c r="I395" s="53"/>
      <c r="J395" s="3" t="s">
        <v>624</v>
      </c>
      <c r="K395" s="10" t="s">
        <v>25</v>
      </c>
      <c r="L395" s="10">
        <v>1</v>
      </c>
      <c r="M395" s="3"/>
      <c r="N395" s="3"/>
      <c r="O395" s="3"/>
      <c r="P395" s="3"/>
      <c r="Q395" s="3"/>
      <c r="R395" s="10" t="s">
        <v>597</v>
      </c>
      <c r="S395" s="10" t="s">
        <v>625</v>
      </c>
      <c r="T395" s="3"/>
      <c r="V395" s="37" t="s">
        <v>618</v>
      </c>
    </row>
    <row r="396" s="2" customFormat="1" ht="15.75" spans="2:22">
      <c r="B396" s="51">
        <v>83</v>
      </c>
      <c r="C396" s="2">
        <v>395</v>
      </c>
      <c r="D396" s="10" t="s">
        <v>471</v>
      </c>
      <c r="E396" s="10">
        <v>140</v>
      </c>
      <c r="F396" s="10">
        <v>227</v>
      </c>
      <c r="G396" s="52">
        <v>292</v>
      </c>
      <c r="H396" s="10">
        <v>1</v>
      </c>
      <c r="I396" s="53"/>
      <c r="J396" s="3" t="s">
        <v>626</v>
      </c>
      <c r="K396" s="10" t="s">
        <v>34</v>
      </c>
      <c r="L396" s="10">
        <v>1</v>
      </c>
      <c r="M396" s="3"/>
      <c r="N396" s="3"/>
      <c r="O396" s="3"/>
      <c r="P396" s="3"/>
      <c r="Q396" s="3"/>
      <c r="R396" s="10" t="s">
        <v>56</v>
      </c>
      <c r="S396" s="10"/>
      <c r="T396" s="3"/>
      <c r="V396" s="37" t="s">
        <v>627</v>
      </c>
    </row>
    <row r="397" s="2" customFormat="1" ht="15.75" spans="2:22">
      <c r="B397" s="51">
        <v>84</v>
      </c>
      <c r="C397" s="2">
        <v>396</v>
      </c>
      <c r="D397" s="10" t="s">
        <v>628</v>
      </c>
      <c r="E397" s="10">
        <v>180</v>
      </c>
      <c r="F397" s="10">
        <v>261</v>
      </c>
      <c r="G397" s="52">
        <v>374</v>
      </c>
      <c r="H397" s="10">
        <v>1</v>
      </c>
      <c r="I397" s="53"/>
      <c r="J397" s="3" t="s">
        <v>629</v>
      </c>
      <c r="K397" s="10" t="s">
        <v>34</v>
      </c>
      <c r="L397" s="10">
        <v>1</v>
      </c>
      <c r="M397" s="3"/>
      <c r="N397" s="3"/>
      <c r="O397" s="3"/>
      <c r="P397" s="3"/>
      <c r="Q397" s="3"/>
      <c r="R397" s="10" t="s">
        <v>56</v>
      </c>
      <c r="S397" s="10"/>
      <c r="T397" s="3"/>
      <c r="V397" s="37" t="s">
        <v>630</v>
      </c>
    </row>
    <row r="398" s="2" customFormat="1" ht="15.75" spans="2:22">
      <c r="B398" s="51">
        <v>85</v>
      </c>
      <c r="C398" s="2">
        <v>397</v>
      </c>
      <c r="D398" s="10" t="s">
        <v>631</v>
      </c>
      <c r="E398" s="10">
        <v>92</v>
      </c>
      <c r="F398" s="10">
        <v>132</v>
      </c>
      <c r="G398" s="52">
        <v>106.5</v>
      </c>
      <c r="H398" s="10">
        <v>1</v>
      </c>
      <c r="I398" s="53"/>
      <c r="J398" s="3" t="s">
        <v>374</v>
      </c>
      <c r="K398" s="10" t="s">
        <v>34</v>
      </c>
      <c r="L398" s="10">
        <v>1</v>
      </c>
      <c r="M398" s="3"/>
      <c r="N398" s="3"/>
      <c r="O398" s="3"/>
      <c r="P398" s="3"/>
      <c r="Q398" s="3"/>
      <c r="R398" s="10" t="s">
        <v>56</v>
      </c>
      <c r="S398" s="10"/>
      <c r="T398" s="3"/>
      <c r="V398" s="37" t="s">
        <v>632</v>
      </c>
    </row>
    <row r="399" s="2" customFormat="1" ht="15.75" spans="2:22">
      <c r="B399" s="51">
        <v>86</v>
      </c>
      <c r="C399" s="2">
        <v>398</v>
      </c>
      <c r="D399" s="10" t="s">
        <v>633</v>
      </c>
      <c r="E399" s="10">
        <v>107</v>
      </c>
      <c r="F399" s="10">
        <v>157</v>
      </c>
      <c r="G399" s="52">
        <v>73</v>
      </c>
      <c r="H399" s="10">
        <v>1</v>
      </c>
      <c r="I399" s="53"/>
      <c r="J399" s="3" t="s">
        <v>634</v>
      </c>
      <c r="K399" s="10" t="s">
        <v>34</v>
      </c>
      <c r="L399" s="10">
        <v>1</v>
      </c>
      <c r="M399" s="3"/>
      <c r="N399" s="3"/>
      <c r="O399" s="3"/>
      <c r="P399" s="3"/>
      <c r="Q399" s="3"/>
      <c r="R399" s="10" t="s">
        <v>56</v>
      </c>
      <c r="S399" s="10"/>
      <c r="T399" s="3"/>
      <c r="V399" s="37" t="s">
        <v>632</v>
      </c>
    </row>
    <row r="400" s="2" customFormat="1" ht="15.75" spans="2:22">
      <c r="B400" s="51">
        <v>87</v>
      </c>
      <c r="C400" s="2">
        <v>399</v>
      </c>
      <c r="D400" s="10" t="s">
        <v>635</v>
      </c>
      <c r="E400" s="10">
        <v>117</v>
      </c>
      <c r="F400" s="10">
        <v>172</v>
      </c>
      <c r="G400" s="52">
        <v>57</v>
      </c>
      <c r="H400" s="10">
        <v>1</v>
      </c>
      <c r="I400" s="53"/>
      <c r="J400" s="3" t="s">
        <v>636</v>
      </c>
      <c r="K400" s="10" t="s">
        <v>34</v>
      </c>
      <c r="L400" s="10">
        <v>1</v>
      </c>
      <c r="M400" s="3"/>
      <c r="N400" s="3"/>
      <c r="O400" s="3"/>
      <c r="P400" s="3"/>
      <c r="Q400" s="3"/>
      <c r="R400" s="10" t="s">
        <v>56</v>
      </c>
      <c r="S400" s="10"/>
      <c r="T400" s="3"/>
      <c r="V400" s="37" t="s">
        <v>632</v>
      </c>
    </row>
    <row r="401" s="2" customFormat="1" ht="15.75" spans="2:22">
      <c r="B401" s="51">
        <v>88</v>
      </c>
      <c r="C401" s="2">
        <v>400</v>
      </c>
      <c r="D401" s="10" t="s">
        <v>637</v>
      </c>
      <c r="E401" s="10">
        <v>125</v>
      </c>
      <c r="F401" s="10">
        <v>181</v>
      </c>
      <c r="G401" s="52">
        <v>45</v>
      </c>
      <c r="H401" s="10">
        <v>1</v>
      </c>
      <c r="I401" s="53"/>
      <c r="J401" s="3" t="s">
        <v>636</v>
      </c>
      <c r="K401" s="10" t="s">
        <v>34</v>
      </c>
      <c r="L401" s="10">
        <v>1</v>
      </c>
      <c r="M401" s="3"/>
      <c r="N401" s="3"/>
      <c r="O401" s="3"/>
      <c r="P401" s="3"/>
      <c r="Q401" s="3"/>
      <c r="R401" s="10" t="s">
        <v>56</v>
      </c>
      <c r="S401" s="10"/>
      <c r="T401" s="3"/>
      <c r="V401" s="37" t="s">
        <v>632</v>
      </c>
    </row>
    <row r="402" s="2" customFormat="1" ht="15.75" spans="2:22">
      <c r="B402" s="51">
        <v>89</v>
      </c>
      <c r="C402" s="2">
        <v>401</v>
      </c>
      <c r="D402" s="10" t="s">
        <v>638</v>
      </c>
      <c r="E402" s="10">
        <v>100</v>
      </c>
      <c r="F402" s="10">
        <v>105</v>
      </c>
      <c r="G402" s="52">
        <v>163.3</v>
      </c>
      <c r="H402" s="10">
        <v>1</v>
      </c>
      <c r="I402" s="53"/>
      <c r="J402" s="3" t="s">
        <v>374</v>
      </c>
      <c r="K402" s="10" t="s">
        <v>34</v>
      </c>
      <c r="L402" s="10">
        <v>1</v>
      </c>
      <c r="M402" s="3"/>
      <c r="N402" s="3"/>
      <c r="O402" s="3"/>
      <c r="P402" s="3"/>
      <c r="Q402" s="3"/>
      <c r="R402" s="10" t="s">
        <v>56</v>
      </c>
      <c r="S402" s="10"/>
      <c r="T402" s="3"/>
      <c r="V402" s="37" t="s">
        <v>639</v>
      </c>
    </row>
    <row r="403" s="2" customFormat="1" ht="15.75" spans="2:22">
      <c r="B403" s="51">
        <v>90</v>
      </c>
      <c r="C403" s="2">
        <v>402</v>
      </c>
      <c r="D403" s="10" t="s">
        <v>640</v>
      </c>
      <c r="E403" s="10">
        <v>100</v>
      </c>
      <c r="F403" s="10">
        <v>120</v>
      </c>
      <c r="G403" s="52">
        <v>140.1</v>
      </c>
      <c r="H403" s="10">
        <v>1</v>
      </c>
      <c r="I403" s="53"/>
      <c r="J403" s="3" t="s">
        <v>641</v>
      </c>
      <c r="K403" s="10" t="s">
        <v>34</v>
      </c>
      <c r="L403" s="10">
        <v>1</v>
      </c>
      <c r="M403" s="3"/>
      <c r="N403" s="3"/>
      <c r="O403" s="3"/>
      <c r="P403" s="3"/>
      <c r="Q403" s="3"/>
      <c r="R403" s="10" t="s">
        <v>56</v>
      </c>
      <c r="S403" s="10"/>
      <c r="T403" s="3"/>
      <c r="V403" s="37" t="s">
        <v>639</v>
      </c>
    </row>
    <row r="404" s="2" customFormat="1" ht="15.75" spans="2:22">
      <c r="B404" s="51">
        <v>91</v>
      </c>
      <c r="C404" s="2">
        <v>403</v>
      </c>
      <c r="D404" s="10" t="s">
        <v>642</v>
      </c>
      <c r="E404" s="10">
        <v>120</v>
      </c>
      <c r="F404" s="10">
        <v>140</v>
      </c>
      <c r="G404" s="52">
        <v>90.6</v>
      </c>
      <c r="H404" s="10">
        <v>1</v>
      </c>
      <c r="I404" s="53"/>
      <c r="J404" s="3" t="s">
        <v>643</v>
      </c>
      <c r="K404" s="10" t="s">
        <v>34</v>
      </c>
      <c r="L404" s="10">
        <v>1</v>
      </c>
      <c r="M404" s="3"/>
      <c r="N404" s="3"/>
      <c r="O404" s="3"/>
      <c r="P404" s="3"/>
      <c r="Q404" s="3"/>
      <c r="R404" s="10" t="s">
        <v>56</v>
      </c>
      <c r="S404" s="10"/>
      <c r="T404" s="3"/>
      <c r="V404" s="37" t="s">
        <v>639</v>
      </c>
    </row>
    <row r="405" s="2" customFormat="1" ht="15.75" spans="2:22">
      <c r="B405" s="51">
        <v>92</v>
      </c>
      <c r="C405" s="2">
        <v>404</v>
      </c>
      <c r="D405" s="10" t="s">
        <v>644</v>
      </c>
      <c r="E405" s="10">
        <v>105</v>
      </c>
      <c r="F405" s="10">
        <v>110</v>
      </c>
      <c r="G405" s="52">
        <v>81.7</v>
      </c>
      <c r="H405" s="10">
        <v>1</v>
      </c>
      <c r="I405" s="53"/>
      <c r="J405" s="3" t="s">
        <v>645</v>
      </c>
      <c r="K405" s="10" t="s">
        <v>34</v>
      </c>
      <c r="L405" s="10">
        <v>1</v>
      </c>
      <c r="M405" s="3"/>
      <c r="N405" s="3"/>
      <c r="O405" s="3"/>
      <c r="P405" s="3"/>
      <c r="Q405" s="3"/>
      <c r="R405" s="10" t="s">
        <v>56</v>
      </c>
      <c r="S405" s="10"/>
      <c r="T405" s="3"/>
      <c r="V405" s="37" t="s">
        <v>639</v>
      </c>
    </row>
    <row r="406" s="2" customFormat="1" ht="15.75" spans="2:22">
      <c r="B406" s="51">
        <v>93</v>
      </c>
      <c r="C406" s="2">
        <v>405</v>
      </c>
      <c r="D406" s="10" t="s">
        <v>646</v>
      </c>
      <c r="E406" s="10">
        <v>85</v>
      </c>
      <c r="F406" s="10">
        <v>90</v>
      </c>
      <c r="G406" s="52">
        <v>71.4</v>
      </c>
      <c r="H406" s="10">
        <v>1</v>
      </c>
      <c r="I406" s="53"/>
      <c r="J406" s="3" t="s">
        <v>647</v>
      </c>
      <c r="K406" s="54" t="s">
        <v>34</v>
      </c>
      <c r="L406" s="10">
        <v>1</v>
      </c>
      <c r="M406" s="3"/>
      <c r="N406" s="3"/>
      <c r="O406" s="3"/>
      <c r="P406" s="3"/>
      <c r="Q406" s="3"/>
      <c r="R406" s="10" t="s">
        <v>56</v>
      </c>
      <c r="S406" s="10"/>
      <c r="T406" s="3"/>
      <c r="V406" s="37" t="s">
        <v>639</v>
      </c>
    </row>
    <row r="407" s="2" customFormat="1" ht="15.75" spans="1:22">
      <c r="A407" s="55" t="s">
        <v>648</v>
      </c>
      <c r="B407" s="56">
        <v>1</v>
      </c>
      <c r="C407" s="2">
        <v>406</v>
      </c>
      <c r="D407" s="10" t="s">
        <v>649</v>
      </c>
      <c r="E407" s="10">
        <v>165</v>
      </c>
      <c r="F407" s="10">
        <v>250</v>
      </c>
      <c r="G407" s="52">
        <v>40</v>
      </c>
      <c r="H407" s="24">
        <v>0</v>
      </c>
      <c r="I407" s="53"/>
      <c r="J407" s="57"/>
      <c r="K407" s="10">
        <v>0</v>
      </c>
      <c r="L407" s="10">
        <v>0</v>
      </c>
      <c r="M407" s="57"/>
      <c r="N407" s="57"/>
      <c r="O407" s="57"/>
      <c r="P407" s="3"/>
      <c r="Q407" s="3"/>
      <c r="R407" s="58" t="s">
        <v>63</v>
      </c>
      <c r="S407" s="10"/>
      <c r="T407" s="3"/>
      <c r="U407" s="3"/>
      <c r="V407" s="26" t="s">
        <v>650</v>
      </c>
    </row>
    <row r="408" s="2" customFormat="1" ht="15.75" spans="2:22">
      <c r="B408" s="56">
        <v>2</v>
      </c>
      <c r="C408" s="2">
        <v>407</v>
      </c>
      <c r="D408" s="10" t="s">
        <v>649</v>
      </c>
      <c r="E408" s="10">
        <v>260</v>
      </c>
      <c r="F408" s="10">
        <v>290</v>
      </c>
      <c r="G408" s="52">
        <v>1.6</v>
      </c>
      <c r="H408" s="24">
        <v>0</v>
      </c>
      <c r="I408" s="53"/>
      <c r="J408" s="57"/>
      <c r="K408" s="10">
        <v>0</v>
      </c>
      <c r="L408" s="10">
        <v>0</v>
      </c>
      <c r="M408" s="57"/>
      <c r="N408" s="57"/>
      <c r="O408" s="57"/>
      <c r="P408" s="3"/>
      <c r="Q408" s="3"/>
      <c r="R408" s="58" t="s">
        <v>63</v>
      </c>
      <c r="S408" s="10"/>
      <c r="T408" s="3"/>
      <c r="U408" s="3"/>
      <c r="V408" s="26" t="s">
        <v>650</v>
      </c>
    </row>
    <row r="409" s="2" customFormat="1" ht="15.75" spans="2:22">
      <c r="B409" s="56">
        <v>3</v>
      </c>
      <c r="C409" s="2">
        <v>408</v>
      </c>
      <c r="D409" s="10" t="s">
        <v>649</v>
      </c>
      <c r="E409" s="10">
        <v>207</v>
      </c>
      <c r="F409" s="10">
        <v>289</v>
      </c>
      <c r="G409" s="52">
        <v>1.6</v>
      </c>
      <c r="H409" s="24">
        <v>0</v>
      </c>
      <c r="I409" s="53"/>
      <c r="J409" s="57"/>
      <c r="K409" s="10">
        <v>0</v>
      </c>
      <c r="L409" s="10">
        <v>0</v>
      </c>
      <c r="M409" s="57"/>
      <c r="N409" s="57"/>
      <c r="O409" s="57"/>
      <c r="P409" s="3"/>
      <c r="Q409" s="3"/>
      <c r="R409" s="58" t="s">
        <v>63</v>
      </c>
      <c r="S409" s="10"/>
      <c r="T409" s="3"/>
      <c r="U409" s="3"/>
      <c r="V409" s="26" t="s">
        <v>650</v>
      </c>
    </row>
    <row r="410" s="2" customFormat="1" ht="15.75" spans="2:22">
      <c r="B410" s="56">
        <v>4</v>
      </c>
      <c r="C410" s="2">
        <v>409</v>
      </c>
      <c r="D410" s="10" t="s">
        <v>651</v>
      </c>
      <c r="E410" s="10">
        <v>380</v>
      </c>
      <c r="F410" s="10">
        <v>430</v>
      </c>
      <c r="G410" s="52">
        <v>0.65</v>
      </c>
      <c r="H410" s="24">
        <v>0</v>
      </c>
      <c r="I410" s="53"/>
      <c r="J410" s="57"/>
      <c r="K410" s="10">
        <v>0</v>
      </c>
      <c r="L410" s="10">
        <v>0</v>
      </c>
      <c r="M410" s="57"/>
      <c r="N410" s="57"/>
      <c r="O410" s="57"/>
      <c r="P410" s="3"/>
      <c r="Q410" s="3"/>
      <c r="R410" s="58" t="s">
        <v>63</v>
      </c>
      <c r="S410" s="10" t="s">
        <v>652</v>
      </c>
      <c r="T410" s="3"/>
      <c r="U410" s="3"/>
      <c r="V410" s="59" t="s">
        <v>653</v>
      </c>
    </row>
    <row r="411" s="2" customFormat="1" ht="15.75" spans="2:22">
      <c r="B411" s="56">
        <v>5</v>
      </c>
      <c r="C411" s="2">
        <v>410</v>
      </c>
      <c r="D411" s="10" t="s">
        <v>651</v>
      </c>
      <c r="E411" s="10">
        <v>242</v>
      </c>
      <c r="F411" s="10">
        <v>371</v>
      </c>
      <c r="G411" s="52">
        <v>3</v>
      </c>
      <c r="H411" s="24">
        <v>0</v>
      </c>
      <c r="I411" s="53"/>
      <c r="J411" s="57"/>
      <c r="K411" s="10">
        <v>0</v>
      </c>
      <c r="L411" s="10">
        <v>0</v>
      </c>
      <c r="M411" s="57"/>
      <c r="N411" s="57"/>
      <c r="O411" s="57"/>
      <c r="P411" s="3"/>
      <c r="Q411" s="3"/>
      <c r="R411" s="58" t="s">
        <v>63</v>
      </c>
      <c r="S411" s="10" t="s">
        <v>654</v>
      </c>
      <c r="T411" s="3"/>
      <c r="U411" s="3"/>
      <c r="V411" s="59" t="s">
        <v>653</v>
      </c>
    </row>
    <row r="412" s="2" customFormat="1" ht="15.75" spans="2:22">
      <c r="B412" s="56">
        <v>6</v>
      </c>
      <c r="C412" s="2">
        <v>411</v>
      </c>
      <c r="D412" s="10" t="s">
        <v>651</v>
      </c>
      <c r="E412" s="10">
        <v>218</v>
      </c>
      <c r="F412" s="10">
        <v>354</v>
      </c>
      <c r="G412" s="52">
        <v>5.3</v>
      </c>
      <c r="H412" s="24">
        <v>0</v>
      </c>
      <c r="I412" s="53"/>
      <c r="J412" s="57"/>
      <c r="K412" s="10">
        <v>0</v>
      </c>
      <c r="L412" s="10">
        <v>0</v>
      </c>
      <c r="M412" s="57"/>
      <c r="N412" s="57"/>
      <c r="O412" s="57"/>
      <c r="P412" s="3"/>
      <c r="Q412" s="3"/>
      <c r="R412" s="58" t="s">
        <v>63</v>
      </c>
      <c r="S412" s="10" t="s">
        <v>655</v>
      </c>
      <c r="T412" s="3"/>
      <c r="U412" s="3"/>
      <c r="V412" s="59" t="s">
        <v>653</v>
      </c>
    </row>
    <row r="413" s="2" customFormat="1" ht="15.75" spans="2:22">
      <c r="B413" s="56">
        <v>7</v>
      </c>
      <c r="C413" s="2">
        <v>412</v>
      </c>
      <c r="D413" s="10" t="s">
        <v>651</v>
      </c>
      <c r="E413" s="10">
        <v>195</v>
      </c>
      <c r="F413" s="10">
        <v>314</v>
      </c>
      <c r="G413" s="52">
        <v>14</v>
      </c>
      <c r="H413" s="24">
        <v>0</v>
      </c>
      <c r="I413" s="53"/>
      <c r="J413" s="57"/>
      <c r="K413" s="10">
        <v>0</v>
      </c>
      <c r="L413" s="10">
        <v>0</v>
      </c>
      <c r="M413" s="57"/>
      <c r="N413" s="57"/>
      <c r="O413" s="57"/>
      <c r="P413" s="3"/>
      <c r="Q413" s="3"/>
      <c r="R413" s="58" t="s">
        <v>63</v>
      </c>
      <c r="S413" s="10" t="s">
        <v>655</v>
      </c>
      <c r="T413" s="3"/>
      <c r="U413" s="3"/>
      <c r="V413" s="59" t="s">
        <v>653</v>
      </c>
    </row>
    <row r="414" s="2" customFormat="1" ht="15.75" spans="2:22">
      <c r="B414" s="56">
        <v>8</v>
      </c>
      <c r="C414" s="2">
        <v>413</v>
      </c>
      <c r="D414" s="10" t="s">
        <v>656</v>
      </c>
      <c r="E414" s="10">
        <v>311</v>
      </c>
      <c r="F414" s="10">
        <v>375</v>
      </c>
      <c r="G414" s="52">
        <v>0.8</v>
      </c>
      <c r="H414" s="24">
        <v>0</v>
      </c>
      <c r="I414" s="53"/>
      <c r="J414" s="57"/>
      <c r="K414" s="10">
        <v>0</v>
      </c>
      <c r="L414" s="10">
        <v>0</v>
      </c>
      <c r="M414" s="57"/>
      <c r="N414" s="57"/>
      <c r="O414" s="57"/>
      <c r="P414" s="3"/>
      <c r="Q414" s="3"/>
      <c r="R414" s="58" t="s">
        <v>63</v>
      </c>
      <c r="S414" s="10" t="s">
        <v>657</v>
      </c>
      <c r="T414" s="3"/>
      <c r="U414" s="3"/>
      <c r="V414" s="59" t="s">
        <v>653</v>
      </c>
    </row>
    <row r="415" s="2" customFormat="1" ht="15.75" spans="2:22">
      <c r="B415" s="56">
        <v>9</v>
      </c>
      <c r="C415" s="2">
        <v>414</v>
      </c>
      <c r="D415" s="10" t="s">
        <v>656</v>
      </c>
      <c r="E415" s="10">
        <v>295</v>
      </c>
      <c r="F415" s="10">
        <v>345</v>
      </c>
      <c r="G415" s="52">
        <v>1.3</v>
      </c>
      <c r="H415" s="24">
        <v>0</v>
      </c>
      <c r="I415" s="53"/>
      <c r="J415" s="57"/>
      <c r="K415" s="10">
        <v>0</v>
      </c>
      <c r="L415" s="10">
        <v>0</v>
      </c>
      <c r="M415" s="57"/>
      <c r="N415" s="57"/>
      <c r="O415" s="57"/>
      <c r="P415" s="3"/>
      <c r="Q415" s="3"/>
      <c r="R415" s="58" t="s">
        <v>63</v>
      </c>
      <c r="S415" s="10" t="s">
        <v>652</v>
      </c>
      <c r="T415" s="3"/>
      <c r="U415" s="3"/>
      <c r="V415" s="59" t="s">
        <v>653</v>
      </c>
    </row>
    <row r="416" s="2" customFormat="1" ht="15.75" spans="2:22">
      <c r="B416" s="56">
        <v>10</v>
      </c>
      <c r="C416" s="2">
        <v>415</v>
      </c>
      <c r="D416" s="10" t="s">
        <v>656</v>
      </c>
      <c r="E416" s="10">
        <v>233</v>
      </c>
      <c r="F416" s="10">
        <v>320</v>
      </c>
      <c r="G416" s="52">
        <v>2</v>
      </c>
      <c r="H416" s="24">
        <v>0</v>
      </c>
      <c r="I416" s="53"/>
      <c r="J416" s="57"/>
      <c r="K416" s="10">
        <v>0</v>
      </c>
      <c r="L416" s="10">
        <v>0</v>
      </c>
      <c r="M416" s="57"/>
      <c r="N416" s="57"/>
      <c r="O416" s="57"/>
      <c r="P416" s="3"/>
      <c r="Q416" s="3"/>
      <c r="R416" s="58" t="s">
        <v>63</v>
      </c>
      <c r="S416" s="10" t="s">
        <v>658</v>
      </c>
      <c r="T416" s="3"/>
      <c r="U416" s="3"/>
      <c r="V416" s="59" t="s">
        <v>653</v>
      </c>
    </row>
    <row r="417" s="2" customFormat="1" ht="15.75" spans="2:22">
      <c r="B417" s="56">
        <v>11</v>
      </c>
      <c r="C417" s="2">
        <v>416</v>
      </c>
      <c r="D417" s="10" t="s">
        <v>649</v>
      </c>
      <c r="E417" s="10">
        <v>189</v>
      </c>
      <c r="F417" s="10">
        <v>274</v>
      </c>
      <c r="G417" s="52">
        <v>7</v>
      </c>
      <c r="H417" s="24">
        <v>0</v>
      </c>
      <c r="I417" s="53"/>
      <c r="J417" s="57"/>
      <c r="K417" s="10">
        <v>0</v>
      </c>
      <c r="L417" s="10">
        <v>0</v>
      </c>
      <c r="M417" s="57"/>
      <c r="N417" s="57"/>
      <c r="O417" s="57"/>
      <c r="P417" s="3"/>
      <c r="Q417" s="3"/>
      <c r="R417" s="58" t="s">
        <v>63</v>
      </c>
      <c r="S417" s="10" t="s">
        <v>659</v>
      </c>
      <c r="T417" s="3"/>
      <c r="U417" s="3"/>
      <c r="V417" s="59" t="s">
        <v>660</v>
      </c>
    </row>
    <row r="418" s="2" customFormat="1" ht="15.75" spans="2:22">
      <c r="B418" s="56">
        <v>12</v>
      </c>
      <c r="C418" s="2">
        <v>417</v>
      </c>
      <c r="D418" s="10" t="s">
        <v>649</v>
      </c>
      <c r="E418" s="10">
        <v>154</v>
      </c>
      <c r="F418" s="10">
        <v>360</v>
      </c>
      <c r="G418" s="52">
        <v>2.3</v>
      </c>
      <c r="H418" s="24">
        <v>0</v>
      </c>
      <c r="I418" s="53"/>
      <c r="J418" s="57"/>
      <c r="K418" s="10">
        <v>0</v>
      </c>
      <c r="L418" s="10">
        <v>0</v>
      </c>
      <c r="M418" s="57"/>
      <c r="N418" s="57"/>
      <c r="O418" s="57"/>
      <c r="P418" s="3"/>
      <c r="Q418" s="3"/>
      <c r="R418" s="58" t="s">
        <v>63</v>
      </c>
      <c r="S418" s="10" t="s">
        <v>654</v>
      </c>
      <c r="T418" s="3"/>
      <c r="U418" s="3"/>
      <c r="V418" s="60" t="s">
        <v>660</v>
      </c>
    </row>
    <row r="419" s="2" customFormat="1" ht="15.75" spans="2:22">
      <c r="B419" s="56">
        <v>13</v>
      </c>
      <c r="C419" s="2">
        <v>418</v>
      </c>
      <c r="D419" s="10" t="s">
        <v>649</v>
      </c>
      <c r="E419" s="10">
        <v>137</v>
      </c>
      <c r="F419" s="10">
        <v>250</v>
      </c>
      <c r="G419" s="52">
        <v>4.3</v>
      </c>
      <c r="H419" s="24">
        <v>0</v>
      </c>
      <c r="I419" s="53"/>
      <c r="J419" s="57"/>
      <c r="K419" s="10">
        <v>0</v>
      </c>
      <c r="L419" s="10">
        <v>0</v>
      </c>
      <c r="M419" s="57"/>
      <c r="N419" s="57"/>
      <c r="O419" s="57"/>
      <c r="P419" s="3"/>
      <c r="Q419" s="3"/>
      <c r="R419" s="58" t="s">
        <v>63</v>
      </c>
      <c r="S419" s="10" t="s">
        <v>654</v>
      </c>
      <c r="T419" s="3"/>
      <c r="U419" s="3"/>
      <c r="V419" s="60" t="s">
        <v>660</v>
      </c>
    </row>
    <row r="420" s="2" customFormat="1" ht="15.75" spans="2:22">
      <c r="B420" s="56">
        <v>14</v>
      </c>
      <c r="C420" s="2">
        <v>419</v>
      </c>
      <c r="D420" s="10" t="s">
        <v>649</v>
      </c>
      <c r="E420" s="10">
        <v>137</v>
      </c>
      <c r="F420" s="10">
        <v>246</v>
      </c>
      <c r="G420" s="52">
        <v>5.3</v>
      </c>
      <c r="H420" s="24">
        <v>0</v>
      </c>
      <c r="I420" s="53"/>
      <c r="J420" s="57"/>
      <c r="K420" s="10">
        <v>0</v>
      </c>
      <c r="L420" s="10">
        <v>0</v>
      </c>
      <c r="M420" s="57"/>
      <c r="N420" s="57"/>
      <c r="O420" s="57"/>
      <c r="P420" s="3"/>
      <c r="Q420" s="3"/>
      <c r="R420" s="58" t="s">
        <v>63</v>
      </c>
      <c r="S420" s="24" t="s">
        <v>661</v>
      </c>
      <c r="T420" s="3"/>
      <c r="U420" s="3"/>
      <c r="V420" s="60" t="s">
        <v>660</v>
      </c>
    </row>
    <row r="421" s="2" customFormat="1" ht="15.75" spans="2:22">
      <c r="B421" s="56">
        <v>15</v>
      </c>
      <c r="C421" s="2">
        <v>420</v>
      </c>
      <c r="D421" s="10" t="s">
        <v>649</v>
      </c>
      <c r="E421" s="10">
        <v>154</v>
      </c>
      <c r="F421" s="10">
        <v>244</v>
      </c>
      <c r="G421" s="52">
        <v>10</v>
      </c>
      <c r="H421" s="24">
        <v>0</v>
      </c>
      <c r="I421" s="53"/>
      <c r="J421" s="57"/>
      <c r="K421" s="10">
        <v>0</v>
      </c>
      <c r="L421" s="10">
        <v>0</v>
      </c>
      <c r="M421" s="57"/>
      <c r="N421" s="57"/>
      <c r="O421" s="57"/>
      <c r="P421" s="3"/>
      <c r="Q421" s="3"/>
      <c r="R421" s="58" t="s">
        <v>63</v>
      </c>
      <c r="S421" s="24" t="s">
        <v>662</v>
      </c>
      <c r="T421" s="3"/>
      <c r="U421" s="3"/>
      <c r="V421" s="60" t="s">
        <v>660</v>
      </c>
    </row>
    <row r="422" s="2" customFormat="1" ht="15.75" spans="2:22">
      <c r="B422" s="56">
        <v>16</v>
      </c>
      <c r="C422" s="2">
        <v>421</v>
      </c>
      <c r="D422" s="10" t="s">
        <v>649</v>
      </c>
      <c r="E422" s="10">
        <v>165</v>
      </c>
      <c r="F422" s="10">
        <v>245</v>
      </c>
      <c r="G422" s="52">
        <v>10</v>
      </c>
      <c r="H422" s="24">
        <v>1</v>
      </c>
      <c r="I422" s="53"/>
      <c r="J422" s="57"/>
      <c r="K422" s="54" t="s">
        <v>34</v>
      </c>
      <c r="L422" s="10">
        <v>1</v>
      </c>
      <c r="M422" s="57"/>
      <c r="N422" s="57"/>
      <c r="O422" s="57"/>
      <c r="P422" s="3"/>
      <c r="Q422" s="3"/>
      <c r="R422" s="58" t="s">
        <v>63</v>
      </c>
      <c r="S422" s="24" t="s">
        <v>663</v>
      </c>
      <c r="T422" s="3"/>
      <c r="U422" s="3"/>
      <c r="V422" s="61" t="s">
        <v>664</v>
      </c>
    </row>
    <row r="423" s="2" customFormat="1" ht="15.75" spans="2:22">
      <c r="B423" s="56">
        <v>17</v>
      </c>
      <c r="C423" s="2">
        <v>422</v>
      </c>
      <c r="D423" s="10" t="s">
        <v>649</v>
      </c>
      <c r="E423" s="10">
        <v>150</v>
      </c>
      <c r="F423" s="10">
        <v>260</v>
      </c>
      <c r="G423" s="52">
        <v>23</v>
      </c>
      <c r="H423" s="24">
        <v>0</v>
      </c>
      <c r="I423" s="53"/>
      <c r="J423" s="57"/>
      <c r="K423" s="24">
        <v>0</v>
      </c>
      <c r="L423" s="24">
        <v>0</v>
      </c>
      <c r="M423" s="57"/>
      <c r="N423" s="57"/>
      <c r="O423" s="57"/>
      <c r="P423" s="3"/>
      <c r="Q423" s="3"/>
      <c r="R423" s="58" t="s">
        <v>63</v>
      </c>
      <c r="S423" s="24" t="s">
        <v>661</v>
      </c>
      <c r="T423" s="3"/>
      <c r="U423" s="3"/>
      <c r="V423" s="62" t="s">
        <v>665</v>
      </c>
    </row>
    <row r="424" s="2" customFormat="1" ht="15.75" spans="2:22">
      <c r="B424" s="56">
        <v>18</v>
      </c>
      <c r="C424" s="2">
        <v>423</v>
      </c>
      <c r="D424" s="10" t="s">
        <v>666</v>
      </c>
      <c r="E424" s="10">
        <v>177</v>
      </c>
      <c r="F424" s="10">
        <v>250</v>
      </c>
      <c r="G424" s="52">
        <v>50</v>
      </c>
      <c r="H424" s="24">
        <v>0</v>
      </c>
      <c r="I424" s="53"/>
      <c r="J424" s="57"/>
      <c r="K424" s="24">
        <v>0</v>
      </c>
      <c r="L424" s="24">
        <v>0</v>
      </c>
      <c r="M424" s="57"/>
      <c r="N424" s="57"/>
      <c r="O424" s="57"/>
      <c r="P424" s="3"/>
      <c r="Q424" s="3"/>
      <c r="R424" s="58" t="s">
        <v>63</v>
      </c>
      <c r="S424" s="24" t="s">
        <v>667</v>
      </c>
      <c r="T424" s="3"/>
      <c r="U424" s="3"/>
      <c r="V424" s="63" t="s">
        <v>668</v>
      </c>
    </row>
    <row r="425" s="2" customFormat="1" ht="15.75" spans="2:22">
      <c r="B425" s="56">
        <v>19</v>
      </c>
      <c r="C425" s="2">
        <v>424</v>
      </c>
      <c r="D425" s="10" t="s">
        <v>666</v>
      </c>
      <c r="E425" s="10">
        <v>91</v>
      </c>
      <c r="F425" s="10">
        <v>228</v>
      </c>
      <c r="G425" s="52">
        <v>50</v>
      </c>
      <c r="H425" s="24">
        <v>0</v>
      </c>
      <c r="I425" s="53"/>
      <c r="J425" s="57"/>
      <c r="K425" s="24">
        <v>0</v>
      </c>
      <c r="L425" s="24">
        <v>0</v>
      </c>
      <c r="M425" s="57"/>
      <c r="N425" s="57"/>
      <c r="O425" s="57"/>
      <c r="P425" s="3"/>
      <c r="Q425" s="3"/>
      <c r="R425" s="58" t="s">
        <v>63</v>
      </c>
      <c r="S425" s="24" t="s">
        <v>667</v>
      </c>
      <c r="T425" s="3"/>
      <c r="U425" s="3"/>
      <c r="V425" s="63" t="s">
        <v>668</v>
      </c>
    </row>
    <row r="426" s="2" customFormat="1" ht="15.75" spans="2:22">
      <c r="B426" s="56">
        <v>20</v>
      </c>
      <c r="C426" s="2">
        <v>425</v>
      </c>
      <c r="D426" s="10" t="s">
        <v>666</v>
      </c>
      <c r="E426" s="10">
        <v>70</v>
      </c>
      <c r="F426" s="10">
        <v>227</v>
      </c>
      <c r="G426" s="52">
        <v>50</v>
      </c>
      <c r="H426" s="24">
        <v>0</v>
      </c>
      <c r="I426" s="53"/>
      <c r="J426" s="57"/>
      <c r="K426" s="24">
        <v>0</v>
      </c>
      <c r="L426" s="24">
        <v>0</v>
      </c>
      <c r="M426" s="57"/>
      <c r="N426" s="57"/>
      <c r="O426" s="57"/>
      <c r="P426" s="3"/>
      <c r="Q426" s="3"/>
      <c r="R426" s="58" t="s">
        <v>63</v>
      </c>
      <c r="S426" s="24" t="s">
        <v>667</v>
      </c>
      <c r="T426" s="3"/>
      <c r="U426" s="3"/>
      <c r="V426" s="63" t="s">
        <v>668</v>
      </c>
    </row>
    <row r="427" s="2" customFormat="1" ht="15.75" spans="2:22">
      <c r="B427" s="56">
        <v>21</v>
      </c>
      <c r="C427" s="2">
        <v>426</v>
      </c>
      <c r="D427" s="10" t="s">
        <v>669</v>
      </c>
      <c r="E427" s="10">
        <v>168</v>
      </c>
      <c r="F427" s="10">
        <v>246</v>
      </c>
      <c r="G427" s="52">
        <v>25</v>
      </c>
      <c r="H427" s="24">
        <v>0</v>
      </c>
      <c r="I427" s="53"/>
      <c r="J427" s="57"/>
      <c r="K427" s="24">
        <v>0</v>
      </c>
      <c r="L427" s="24">
        <v>0</v>
      </c>
      <c r="M427" s="57"/>
      <c r="N427" s="57"/>
      <c r="O427" s="57"/>
      <c r="P427" s="3"/>
      <c r="Q427" s="3"/>
      <c r="R427" s="58" t="s">
        <v>63</v>
      </c>
      <c r="S427" s="24" t="s">
        <v>667</v>
      </c>
      <c r="T427" s="3"/>
      <c r="U427" s="3"/>
      <c r="V427" s="63" t="s">
        <v>668</v>
      </c>
    </row>
    <row r="428" s="2" customFormat="1" ht="15.75" spans="2:22">
      <c r="B428" s="56">
        <v>22</v>
      </c>
      <c r="C428" s="2">
        <v>427</v>
      </c>
      <c r="D428" s="10" t="s">
        <v>669</v>
      </c>
      <c r="E428" s="10">
        <v>116</v>
      </c>
      <c r="F428" s="10">
        <v>227</v>
      </c>
      <c r="G428" s="52">
        <v>25</v>
      </c>
      <c r="H428" s="24">
        <v>0</v>
      </c>
      <c r="I428" s="53"/>
      <c r="J428" s="57"/>
      <c r="K428" s="24">
        <v>0</v>
      </c>
      <c r="L428" s="24">
        <v>0</v>
      </c>
      <c r="M428" s="57"/>
      <c r="N428" s="57"/>
      <c r="O428" s="57"/>
      <c r="P428" s="3"/>
      <c r="Q428" s="3"/>
      <c r="R428" s="58" t="s">
        <v>63</v>
      </c>
      <c r="S428" s="24" t="s">
        <v>667</v>
      </c>
      <c r="T428" s="3"/>
      <c r="U428" s="3"/>
      <c r="V428" s="63" t="s">
        <v>668</v>
      </c>
    </row>
    <row r="429" s="2" customFormat="1" ht="15.75" spans="2:22">
      <c r="B429" s="56">
        <v>23</v>
      </c>
      <c r="C429" s="2">
        <v>428</v>
      </c>
      <c r="D429" s="10" t="s">
        <v>669</v>
      </c>
      <c r="E429" s="10">
        <v>109</v>
      </c>
      <c r="F429" s="10">
        <v>243</v>
      </c>
      <c r="G429" s="52">
        <v>25</v>
      </c>
      <c r="H429" s="24">
        <v>0</v>
      </c>
      <c r="I429" s="53"/>
      <c r="J429" s="57"/>
      <c r="K429" s="24">
        <v>0</v>
      </c>
      <c r="L429" s="24">
        <v>0</v>
      </c>
      <c r="M429" s="57"/>
      <c r="N429" s="57"/>
      <c r="O429" s="57"/>
      <c r="P429" s="3"/>
      <c r="Q429" s="3"/>
      <c r="R429" s="58" t="s">
        <v>63</v>
      </c>
      <c r="S429" s="24" t="s">
        <v>667</v>
      </c>
      <c r="T429" s="3"/>
      <c r="U429" s="3"/>
      <c r="V429" s="63" t="s">
        <v>668</v>
      </c>
    </row>
    <row r="430" s="2" customFormat="1" ht="15.75" spans="2:22">
      <c r="B430" s="56">
        <v>24</v>
      </c>
      <c r="C430" s="2">
        <v>429</v>
      </c>
      <c r="D430" s="10" t="s">
        <v>670</v>
      </c>
      <c r="E430" s="10">
        <v>157</v>
      </c>
      <c r="F430" s="10">
        <v>232</v>
      </c>
      <c r="G430" s="52">
        <v>35</v>
      </c>
      <c r="H430" s="24">
        <v>0</v>
      </c>
      <c r="I430" s="53"/>
      <c r="J430" s="57"/>
      <c r="K430" s="24">
        <v>0</v>
      </c>
      <c r="L430" s="24">
        <v>0</v>
      </c>
      <c r="M430" s="57"/>
      <c r="N430" s="57"/>
      <c r="O430" s="57"/>
      <c r="P430" s="3"/>
      <c r="Q430" s="3"/>
      <c r="R430" s="58" t="s">
        <v>63</v>
      </c>
      <c r="S430" s="24" t="s">
        <v>667</v>
      </c>
      <c r="T430" s="3"/>
      <c r="U430" s="3"/>
      <c r="V430" s="63" t="s">
        <v>668</v>
      </c>
    </row>
    <row r="431" s="2" customFormat="1" ht="15.75" spans="2:22">
      <c r="B431" s="56">
        <v>25</v>
      </c>
      <c r="C431" s="2">
        <v>430</v>
      </c>
      <c r="D431" s="10" t="s">
        <v>670</v>
      </c>
      <c r="E431" s="10">
        <v>101</v>
      </c>
      <c r="F431" s="10">
        <v>213</v>
      </c>
      <c r="G431" s="52">
        <v>35</v>
      </c>
      <c r="H431" s="24">
        <v>0</v>
      </c>
      <c r="I431" s="53"/>
      <c r="J431" s="57"/>
      <c r="K431" s="24">
        <v>0</v>
      </c>
      <c r="L431" s="24">
        <v>0</v>
      </c>
      <c r="M431" s="57"/>
      <c r="N431" s="57"/>
      <c r="O431" s="57"/>
      <c r="P431" s="3"/>
      <c r="Q431" s="3"/>
      <c r="R431" s="58" t="s">
        <v>63</v>
      </c>
      <c r="S431" s="24" t="s">
        <v>667</v>
      </c>
      <c r="T431" s="3"/>
      <c r="U431" s="3"/>
      <c r="V431" s="63" t="s">
        <v>668</v>
      </c>
    </row>
    <row r="432" s="2" customFormat="1" ht="15.75" spans="2:22">
      <c r="B432" s="56">
        <v>26</v>
      </c>
      <c r="C432" s="2">
        <v>431</v>
      </c>
      <c r="D432" s="10" t="s">
        <v>670</v>
      </c>
      <c r="E432" s="10">
        <v>91</v>
      </c>
      <c r="F432" s="10">
        <v>233</v>
      </c>
      <c r="G432" s="52">
        <v>35</v>
      </c>
      <c r="H432" s="24">
        <v>0</v>
      </c>
      <c r="I432" s="53"/>
      <c r="J432" s="57"/>
      <c r="K432" s="24">
        <v>0</v>
      </c>
      <c r="L432" s="24">
        <v>0</v>
      </c>
      <c r="M432" s="57"/>
      <c r="N432" s="57"/>
      <c r="O432" s="57"/>
      <c r="P432" s="3"/>
      <c r="Q432" s="3"/>
      <c r="R432" s="58" t="s">
        <v>63</v>
      </c>
      <c r="S432" s="24" t="s">
        <v>667</v>
      </c>
      <c r="T432" s="3"/>
      <c r="U432" s="3"/>
      <c r="V432" s="63" t="s">
        <v>668</v>
      </c>
    </row>
    <row r="433" s="2" customFormat="1" ht="15.75" spans="2:22">
      <c r="B433" s="56">
        <v>27</v>
      </c>
      <c r="C433" s="2">
        <v>432</v>
      </c>
      <c r="D433" s="10" t="s">
        <v>671</v>
      </c>
      <c r="E433" s="10">
        <v>161</v>
      </c>
      <c r="F433" s="10">
        <v>229</v>
      </c>
      <c r="G433" s="52">
        <v>32</v>
      </c>
      <c r="H433" s="24">
        <v>0</v>
      </c>
      <c r="I433" s="53"/>
      <c r="J433" s="57"/>
      <c r="K433" s="24">
        <v>0</v>
      </c>
      <c r="L433" s="24">
        <v>0</v>
      </c>
      <c r="M433" s="57"/>
      <c r="N433" s="57"/>
      <c r="O433" s="57"/>
      <c r="P433" s="3"/>
      <c r="Q433" s="3"/>
      <c r="R433" s="58" t="s">
        <v>63</v>
      </c>
      <c r="S433" s="24" t="s">
        <v>667</v>
      </c>
      <c r="T433" s="3"/>
      <c r="U433" s="3"/>
      <c r="V433" s="63" t="s">
        <v>668</v>
      </c>
    </row>
    <row r="434" s="2" customFormat="1" ht="15.75" spans="2:22">
      <c r="B434" s="56">
        <v>28</v>
      </c>
      <c r="C434" s="2">
        <v>433</v>
      </c>
      <c r="D434" s="10" t="s">
        <v>671</v>
      </c>
      <c r="E434" s="10">
        <v>112</v>
      </c>
      <c r="F434" s="10">
        <v>210</v>
      </c>
      <c r="G434" s="52">
        <v>32</v>
      </c>
      <c r="H434" s="24">
        <v>0</v>
      </c>
      <c r="I434" s="53"/>
      <c r="J434" s="57"/>
      <c r="K434" s="24">
        <v>0</v>
      </c>
      <c r="L434" s="24">
        <v>0</v>
      </c>
      <c r="M434" s="57"/>
      <c r="N434" s="57"/>
      <c r="O434" s="57"/>
      <c r="P434" s="3"/>
      <c r="Q434" s="3"/>
      <c r="R434" s="58" t="s">
        <v>63</v>
      </c>
      <c r="S434" s="24" t="s">
        <v>667</v>
      </c>
      <c r="T434" s="3"/>
      <c r="U434" s="3"/>
      <c r="V434" s="63" t="s">
        <v>668</v>
      </c>
    </row>
    <row r="435" s="2" customFormat="1" ht="15.75" spans="2:22">
      <c r="B435" s="56">
        <v>29</v>
      </c>
      <c r="C435" s="2">
        <v>434</v>
      </c>
      <c r="D435" s="10" t="s">
        <v>671</v>
      </c>
      <c r="E435" s="10">
        <v>113</v>
      </c>
      <c r="F435" s="10">
        <v>242</v>
      </c>
      <c r="G435" s="52">
        <v>32</v>
      </c>
      <c r="H435" s="24">
        <v>0</v>
      </c>
      <c r="I435" s="53"/>
      <c r="J435" s="57"/>
      <c r="K435" s="24">
        <v>0</v>
      </c>
      <c r="L435" s="24">
        <v>0</v>
      </c>
      <c r="M435" s="57"/>
      <c r="N435" s="57"/>
      <c r="O435" s="57"/>
      <c r="P435" s="3"/>
      <c r="Q435" s="3"/>
      <c r="R435" s="58" t="s">
        <v>63</v>
      </c>
      <c r="S435" s="24" t="s">
        <v>667</v>
      </c>
      <c r="T435" s="3"/>
      <c r="U435" s="3"/>
      <c r="V435" s="63" t="s">
        <v>668</v>
      </c>
    </row>
    <row r="436" s="2" customFormat="1" ht="15.75" spans="2:22">
      <c r="B436" s="56">
        <v>30</v>
      </c>
      <c r="C436" s="2">
        <v>435</v>
      </c>
      <c r="D436" s="14" t="s">
        <v>672</v>
      </c>
      <c r="E436" s="10">
        <v>180</v>
      </c>
      <c r="F436" s="10">
        <v>268</v>
      </c>
      <c r="G436" s="52">
        <v>200</v>
      </c>
      <c r="H436" s="24">
        <v>0</v>
      </c>
      <c r="I436" s="53"/>
      <c r="J436" s="57"/>
      <c r="K436" s="24">
        <v>0</v>
      </c>
      <c r="L436" s="24">
        <v>0</v>
      </c>
      <c r="M436" s="57"/>
      <c r="N436" s="57"/>
      <c r="O436" s="57"/>
      <c r="P436" s="3"/>
      <c r="Q436" s="3"/>
      <c r="R436" s="58" t="s">
        <v>63</v>
      </c>
      <c r="S436" s="24" t="s">
        <v>673</v>
      </c>
      <c r="T436" s="3"/>
      <c r="U436" s="3"/>
      <c r="V436" s="64" t="s">
        <v>674</v>
      </c>
    </row>
    <row r="437" s="2" customFormat="1" ht="15.75" spans="2:22">
      <c r="B437" s="56">
        <v>31</v>
      </c>
      <c r="C437" s="2">
        <v>436</v>
      </c>
      <c r="D437" s="14" t="s">
        <v>675</v>
      </c>
      <c r="E437" s="10">
        <v>245</v>
      </c>
      <c r="F437" s="10">
        <v>310</v>
      </c>
      <c r="G437" s="52">
        <v>300</v>
      </c>
      <c r="H437" s="14">
        <v>1</v>
      </c>
      <c r="I437" s="53"/>
      <c r="J437" s="57"/>
      <c r="K437" s="54" t="s">
        <v>34</v>
      </c>
      <c r="L437" s="10">
        <v>1</v>
      </c>
      <c r="M437" s="57"/>
      <c r="N437" s="57"/>
      <c r="O437" s="57"/>
      <c r="P437" s="3"/>
      <c r="Q437" s="3"/>
      <c r="R437" s="58" t="s">
        <v>63</v>
      </c>
      <c r="S437" s="24" t="s">
        <v>673</v>
      </c>
      <c r="T437" s="3"/>
      <c r="U437" s="3"/>
      <c r="V437" s="64" t="s">
        <v>674</v>
      </c>
    </row>
    <row r="438" s="2" customFormat="1" ht="15.75" spans="2:22">
      <c r="B438" s="56">
        <v>32</v>
      </c>
      <c r="C438" s="2">
        <v>437</v>
      </c>
      <c r="D438" s="10" t="s">
        <v>676</v>
      </c>
      <c r="E438" s="10">
        <v>225</v>
      </c>
      <c r="F438" s="10">
        <v>275</v>
      </c>
      <c r="G438" s="52">
        <v>23</v>
      </c>
      <c r="H438" s="24">
        <v>0</v>
      </c>
      <c r="I438" s="53"/>
      <c r="J438" s="57"/>
      <c r="K438" s="24">
        <v>0</v>
      </c>
      <c r="L438" s="10">
        <v>0</v>
      </c>
      <c r="M438" s="57"/>
      <c r="N438" s="57"/>
      <c r="O438" s="57"/>
      <c r="P438" s="3"/>
      <c r="Q438" s="3"/>
      <c r="R438" s="58" t="s">
        <v>63</v>
      </c>
      <c r="S438" s="24" t="s">
        <v>677</v>
      </c>
      <c r="T438" s="3"/>
      <c r="U438" s="3"/>
      <c r="V438" s="61" t="s">
        <v>678</v>
      </c>
    </row>
    <row r="439" s="2" customFormat="1" ht="15.75" spans="2:22">
      <c r="B439" s="56">
        <v>33</v>
      </c>
      <c r="C439" s="2">
        <v>438</v>
      </c>
      <c r="D439" s="10" t="s">
        <v>679</v>
      </c>
      <c r="E439" s="10">
        <v>225</v>
      </c>
      <c r="F439" s="10">
        <v>260</v>
      </c>
      <c r="G439" s="52">
        <v>27</v>
      </c>
      <c r="H439" s="24">
        <v>0</v>
      </c>
      <c r="I439" s="53"/>
      <c r="J439" s="57"/>
      <c r="K439" s="24">
        <v>0</v>
      </c>
      <c r="L439" s="10">
        <v>0</v>
      </c>
      <c r="M439" s="57"/>
      <c r="N439" s="57"/>
      <c r="O439" s="57"/>
      <c r="P439" s="3"/>
      <c r="Q439" s="3"/>
      <c r="R439" s="58" t="s">
        <v>63</v>
      </c>
      <c r="S439" s="24" t="s">
        <v>680</v>
      </c>
      <c r="T439" s="3"/>
      <c r="U439" s="3"/>
      <c r="V439" s="61" t="s">
        <v>678</v>
      </c>
    </row>
    <row r="440" s="2" customFormat="1" ht="15.75" spans="2:22">
      <c r="B440" s="56">
        <v>34</v>
      </c>
      <c r="C440" s="2">
        <v>439</v>
      </c>
      <c r="D440" s="10" t="s">
        <v>681</v>
      </c>
      <c r="E440" s="10">
        <v>150</v>
      </c>
      <c r="F440" s="10">
        <v>210</v>
      </c>
      <c r="G440" s="52">
        <v>18</v>
      </c>
      <c r="H440" s="24">
        <v>0</v>
      </c>
      <c r="I440" s="53"/>
      <c r="J440" s="57"/>
      <c r="K440" s="24">
        <v>0</v>
      </c>
      <c r="L440" s="10">
        <v>0</v>
      </c>
      <c r="M440" s="57"/>
      <c r="N440" s="57"/>
      <c r="O440" s="57"/>
      <c r="P440" s="3"/>
      <c r="Q440" s="3"/>
      <c r="R440" s="58" t="s">
        <v>63</v>
      </c>
      <c r="S440" s="24" t="s">
        <v>682</v>
      </c>
      <c r="T440" s="3"/>
      <c r="U440" s="3"/>
      <c r="V440" s="61" t="s">
        <v>678</v>
      </c>
    </row>
    <row r="441" s="2" customFormat="1" ht="15.75" spans="2:22">
      <c r="B441" s="56">
        <v>35</v>
      </c>
      <c r="C441" s="2">
        <v>440</v>
      </c>
      <c r="D441" s="10" t="s">
        <v>683</v>
      </c>
      <c r="E441" s="10">
        <v>198</v>
      </c>
      <c r="F441" s="10">
        <v>263</v>
      </c>
      <c r="G441" s="52">
        <v>7.4</v>
      </c>
      <c r="H441" s="24">
        <v>0</v>
      </c>
      <c r="I441" s="53"/>
      <c r="J441" s="57"/>
      <c r="K441" s="24">
        <v>0</v>
      </c>
      <c r="L441" s="10">
        <v>0</v>
      </c>
      <c r="M441" s="57"/>
      <c r="N441" s="57"/>
      <c r="O441" s="57"/>
      <c r="P441" s="3"/>
      <c r="Q441" s="3"/>
      <c r="R441" s="58" t="s">
        <v>63</v>
      </c>
      <c r="S441" s="24" t="s">
        <v>684</v>
      </c>
      <c r="T441" s="3"/>
      <c r="U441" s="3"/>
      <c r="V441" s="65" t="s">
        <v>685</v>
      </c>
    </row>
    <row r="442" s="2" customFormat="1" ht="15.75" spans="2:22">
      <c r="B442" s="56">
        <v>36</v>
      </c>
      <c r="C442" s="2">
        <v>441</v>
      </c>
      <c r="D442" s="10" t="s">
        <v>683</v>
      </c>
      <c r="E442" s="10">
        <v>233</v>
      </c>
      <c r="F442" s="10">
        <v>262</v>
      </c>
      <c r="G442" s="52">
        <v>2.9</v>
      </c>
      <c r="H442" s="24">
        <v>0</v>
      </c>
      <c r="I442" s="53"/>
      <c r="J442" s="57"/>
      <c r="K442" s="24">
        <v>0</v>
      </c>
      <c r="L442" s="10">
        <v>0</v>
      </c>
      <c r="M442" s="57"/>
      <c r="N442" s="57"/>
      <c r="O442" s="57"/>
      <c r="P442" s="3"/>
      <c r="Q442" s="3"/>
      <c r="R442" s="58" t="s">
        <v>63</v>
      </c>
      <c r="S442" s="24" t="s">
        <v>686</v>
      </c>
      <c r="T442" s="3"/>
      <c r="U442" s="3"/>
      <c r="V442" s="65" t="s">
        <v>685</v>
      </c>
    </row>
    <row r="443" s="2" customFormat="1" ht="15.75" spans="2:22">
      <c r="B443" s="56">
        <v>37</v>
      </c>
      <c r="C443" s="2">
        <v>442</v>
      </c>
      <c r="D443" s="10" t="s">
        <v>683</v>
      </c>
      <c r="E443" s="10">
        <v>249</v>
      </c>
      <c r="F443" s="10">
        <v>301</v>
      </c>
      <c r="G443" s="52">
        <v>2.1</v>
      </c>
      <c r="H443" s="24">
        <v>0</v>
      </c>
      <c r="I443" s="53"/>
      <c r="J443" s="57"/>
      <c r="K443" s="24">
        <v>0</v>
      </c>
      <c r="L443" s="10">
        <v>0</v>
      </c>
      <c r="M443" s="57"/>
      <c r="N443" s="57"/>
      <c r="O443" s="57"/>
      <c r="P443" s="3"/>
      <c r="Q443" s="3"/>
      <c r="R443" s="58" t="s">
        <v>63</v>
      </c>
      <c r="S443" s="24" t="s">
        <v>687</v>
      </c>
      <c r="T443" s="3"/>
      <c r="U443" s="3"/>
      <c r="V443" s="65" t="s">
        <v>685</v>
      </c>
    </row>
    <row r="444" s="2" customFormat="1" ht="15.75" spans="2:22">
      <c r="B444" s="56">
        <v>38</v>
      </c>
      <c r="C444" s="2">
        <v>443</v>
      </c>
      <c r="D444" s="10" t="s">
        <v>688</v>
      </c>
      <c r="E444" s="10">
        <v>212</v>
      </c>
      <c r="F444" s="10">
        <v>299</v>
      </c>
      <c r="G444" s="52">
        <v>12.1</v>
      </c>
      <c r="H444" s="24">
        <v>0</v>
      </c>
      <c r="I444" s="53"/>
      <c r="J444" s="57"/>
      <c r="K444" s="24">
        <v>0</v>
      </c>
      <c r="L444" s="10">
        <v>0</v>
      </c>
      <c r="M444" s="57"/>
      <c r="N444" s="57"/>
      <c r="O444" s="57"/>
      <c r="P444" s="3"/>
      <c r="Q444" s="3"/>
      <c r="R444" s="58" t="s">
        <v>63</v>
      </c>
      <c r="S444" s="24" t="s">
        <v>689</v>
      </c>
      <c r="T444" s="3"/>
      <c r="U444" s="3"/>
      <c r="V444" s="65" t="s">
        <v>685</v>
      </c>
    </row>
    <row r="445" s="2" customFormat="1" ht="15.75" spans="2:22">
      <c r="B445" s="56">
        <v>39</v>
      </c>
      <c r="C445" s="2">
        <v>444</v>
      </c>
      <c r="D445" s="10" t="s">
        <v>688</v>
      </c>
      <c r="E445" s="10">
        <v>212</v>
      </c>
      <c r="F445" s="10">
        <v>295</v>
      </c>
      <c r="G445" s="52">
        <v>12.7</v>
      </c>
      <c r="H445" s="24">
        <v>0</v>
      </c>
      <c r="I445" s="53"/>
      <c r="J445" s="57"/>
      <c r="K445" s="24">
        <v>0</v>
      </c>
      <c r="L445" s="10">
        <v>0</v>
      </c>
      <c r="M445" s="57"/>
      <c r="N445" s="57"/>
      <c r="O445" s="57"/>
      <c r="P445" s="3"/>
      <c r="Q445" s="3"/>
      <c r="R445" s="58" t="s">
        <v>63</v>
      </c>
      <c r="S445" s="24" t="s">
        <v>690</v>
      </c>
      <c r="T445" s="3"/>
      <c r="U445" s="3"/>
      <c r="V445" s="65" t="s">
        <v>685</v>
      </c>
    </row>
    <row r="446" s="2" customFormat="1" ht="15.75" spans="2:22">
      <c r="B446" s="56">
        <v>40</v>
      </c>
      <c r="C446" s="2">
        <v>445</v>
      </c>
      <c r="D446" s="10" t="s">
        <v>688</v>
      </c>
      <c r="E446" s="10">
        <v>195</v>
      </c>
      <c r="F446" s="10">
        <v>296</v>
      </c>
      <c r="G446" s="52">
        <v>5.8</v>
      </c>
      <c r="H446" s="24">
        <v>0</v>
      </c>
      <c r="I446" s="53"/>
      <c r="J446" s="57"/>
      <c r="K446" s="24">
        <v>0</v>
      </c>
      <c r="L446" s="10">
        <v>0</v>
      </c>
      <c r="M446" s="57"/>
      <c r="N446" s="57"/>
      <c r="O446" s="57"/>
      <c r="P446" s="3"/>
      <c r="Q446" s="3"/>
      <c r="R446" s="58" t="s">
        <v>63</v>
      </c>
      <c r="S446" s="24" t="s">
        <v>691</v>
      </c>
      <c r="T446" s="3"/>
      <c r="U446" s="3"/>
      <c r="V446" s="65" t="s">
        <v>685</v>
      </c>
    </row>
    <row r="447" s="2" customFormat="1" ht="15.75" spans="2:22">
      <c r="B447" s="56">
        <v>41</v>
      </c>
      <c r="C447" s="2">
        <v>446</v>
      </c>
      <c r="D447" s="10" t="s">
        <v>692</v>
      </c>
      <c r="E447" s="10">
        <v>223</v>
      </c>
      <c r="F447" s="10">
        <v>319</v>
      </c>
      <c r="G447" s="52">
        <v>4.8</v>
      </c>
      <c r="H447" s="24">
        <v>0</v>
      </c>
      <c r="I447" s="53"/>
      <c r="J447" s="57"/>
      <c r="K447" s="24">
        <v>0</v>
      </c>
      <c r="L447" s="10">
        <v>0</v>
      </c>
      <c r="M447" s="57"/>
      <c r="N447" s="57"/>
      <c r="O447" s="57"/>
      <c r="P447" s="3"/>
      <c r="Q447" s="3"/>
      <c r="R447" s="58" t="s">
        <v>63</v>
      </c>
      <c r="S447" s="24" t="s">
        <v>693</v>
      </c>
      <c r="T447" s="3"/>
      <c r="U447" s="3"/>
      <c r="V447" s="65" t="s">
        <v>685</v>
      </c>
    </row>
    <row r="448" s="2" customFormat="1" ht="15.75" spans="2:22">
      <c r="B448" s="56">
        <v>42</v>
      </c>
      <c r="C448" s="2">
        <v>447</v>
      </c>
      <c r="D448" s="10" t="s">
        <v>692</v>
      </c>
      <c r="E448" s="10">
        <v>233</v>
      </c>
      <c r="F448" s="10">
        <v>320</v>
      </c>
      <c r="G448" s="52">
        <v>4.7</v>
      </c>
      <c r="H448" s="24">
        <v>0</v>
      </c>
      <c r="I448" s="53"/>
      <c r="J448" s="57"/>
      <c r="K448" s="24">
        <v>0</v>
      </c>
      <c r="L448" s="10">
        <v>0</v>
      </c>
      <c r="M448" s="57"/>
      <c r="N448" s="57"/>
      <c r="O448" s="57"/>
      <c r="P448" s="3"/>
      <c r="Q448" s="3"/>
      <c r="R448" s="58" t="s">
        <v>63</v>
      </c>
      <c r="S448" s="24" t="s">
        <v>694</v>
      </c>
      <c r="T448" s="3"/>
      <c r="U448" s="3"/>
      <c r="V448" s="65" t="s">
        <v>685</v>
      </c>
    </row>
    <row r="449" s="2" customFormat="1" ht="15.75" spans="2:22">
      <c r="B449" s="56">
        <v>43</v>
      </c>
      <c r="C449" s="2">
        <v>448</v>
      </c>
      <c r="D449" s="10" t="s">
        <v>692</v>
      </c>
      <c r="E449" s="10">
        <v>235</v>
      </c>
      <c r="F449" s="10">
        <v>325</v>
      </c>
      <c r="G449" s="52">
        <v>3.9</v>
      </c>
      <c r="H449" s="24">
        <v>0</v>
      </c>
      <c r="I449" s="53"/>
      <c r="J449" s="57"/>
      <c r="K449" s="24">
        <v>0</v>
      </c>
      <c r="L449" s="10">
        <v>0</v>
      </c>
      <c r="M449" s="57"/>
      <c r="N449" s="57"/>
      <c r="O449" s="57"/>
      <c r="P449" s="3"/>
      <c r="Q449" s="3"/>
      <c r="R449" s="58" t="s">
        <v>63</v>
      </c>
      <c r="S449" s="24" t="s">
        <v>695</v>
      </c>
      <c r="T449" s="3"/>
      <c r="U449" s="3"/>
      <c r="V449" s="65" t="s">
        <v>685</v>
      </c>
    </row>
    <row r="450" s="2" customFormat="1" ht="15.75" spans="2:22">
      <c r="B450" s="56">
        <v>44</v>
      </c>
      <c r="C450" s="2">
        <v>449</v>
      </c>
      <c r="D450" s="10" t="s">
        <v>696</v>
      </c>
      <c r="E450" s="10">
        <v>239</v>
      </c>
      <c r="F450" s="10">
        <v>333</v>
      </c>
      <c r="G450" s="52">
        <v>5.9</v>
      </c>
      <c r="H450" s="24">
        <v>0</v>
      </c>
      <c r="I450" s="53"/>
      <c r="J450" s="57"/>
      <c r="K450" s="24">
        <v>0</v>
      </c>
      <c r="L450" s="10">
        <v>0</v>
      </c>
      <c r="M450" s="57"/>
      <c r="N450" s="57"/>
      <c r="O450" s="57"/>
      <c r="P450" s="3"/>
      <c r="Q450" s="3"/>
      <c r="R450" s="58" t="s">
        <v>63</v>
      </c>
      <c r="S450" s="24" t="s">
        <v>697</v>
      </c>
      <c r="T450" s="3"/>
      <c r="U450" s="3"/>
      <c r="V450" s="65" t="s">
        <v>685</v>
      </c>
    </row>
    <row r="451" s="2" customFormat="1" ht="15.75" spans="2:22">
      <c r="B451" s="56">
        <v>45</v>
      </c>
      <c r="C451" s="2">
        <v>450</v>
      </c>
      <c r="D451" s="10" t="s">
        <v>696</v>
      </c>
      <c r="E451" s="10">
        <v>247</v>
      </c>
      <c r="F451" s="10">
        <v>333</v>
      </c>
      <c r="G451" s="52">
        <v>5.5</v>
      </c>
      <c r="H451" s="24">
        <v>0</v>
      </c>
      <c r="I451" s="53"/>
      <c r="J451" s="57"/>
      <c r="K451" s="24">
        <v>0</v>
      </c>
      <c r="L451" s="10">
        <v>0</v>
      </c>
      <c r="M451" s="57"/>
      <c r="N451" s="57"/>
      <c r="O451" s="57"/>
      <c r="P451" s="3"/>
      <c r="Q451" s="3"/>
      <c r="R451" s="58" t="s">
        <v>63</v>
      </c>
      <c r="S451" s="24" t="s">
        <v>694</v>
      </c>
      <c r="T451" s="3"/>
      <c r="U451" s="3"/>
      <c r="V451" s="65" t="s">
        <v>685</v>
      </c>
    </row>
    <row r="452" s="2" customFormat="1" ht="15.75" spans="2:22">
      <c r="B452" s="56">
        <v>46</v>
      </c>
      <c r="C452" s="2">
        <v>451</v>
      </c>
      <c r="D452" s="10" t="s">
        <v>696</v>
      </c>
      <c r="E452" s="10">
        <v>243</v>
      </c>
      <c r="F452" s="10">
        <v>336</v>
      </c>
      <c r="G452" s="52">
        <v>4.3</v>
      </c>
      <c r="H452" s="24">
        <v>0</v>
      </c>
      <c r="I452" s="53"/>
      <c r="J452" s="57"/>
      <c r="K452" s="24">
        <v>0</v>
      </c>
      <c r="L452" s="10">
        <v>0</v>
      </c>
      <c r="M452" s="57"/>
      <c r="N452" s="57"/>
      <c r="O452" s="57"/>
      <c r="P452" s="3"/>
      <c r="Q452" s="3"/>
      <c r="R452" s="58" t="s">
        <v>63</v>
      </c>
      <c r="S452" s="24" t="s">
        <v>695</v>
      </c>
      <c r="T452" s="3"/>
      <c r="U452" s="3"/>
      <c r="V452" s="65" t="s">
        <v>685</v>
      </c>
    </row>
    <row r="453" s="2" customFormat="1" ht="15.75" spans="2:22">
      <c r="B453" s="56">
        <v>47</v>
      </c>
      <c r="C453" s="2">
        <v>452</v>
      </c>
      <c r="D453" s="10" t="s">
        <v>649</v>
      </c>
      <c r="E453" s="10">
        <v>160</v>
      </c>
      <c r="F453" s="10">
        <v>285</v>
      </c>
      <c r="G453" s="52">
        <v>8.6</v>
      </c>
      <c r="H453" s="24">
        <v>0</v>
      </c>
      <c r="I453" s="53"/>
      <c r="J453" s="57"/>
      <c r="K453" s="24">
        <v>0</v>
      </c>
      <c r="L453" s="10">
        <v>0</v>
      </c>
      <c r="M453" s="57"/>
      <c r="N453" s="57"/>
      <c r="O453" s="57"/>
      <c r="P453" s="3"/>
      <c r="Q453" s="3"/>
      <c r="R453" s="58" t="s">
        <v>63</v>
      </c>
      <c r="S453" s="10"/>
      <c r="T453" s="3"/>
      <c r="U453" s="3"/>
      <c r="V453" s="66" t="s">
        <v>698</v>
      </c>
    </row>
    <row r="454" s="2" customFormat="1" ht="15.75" spans="2:22">
      <c r="B454" s="56">
        <v>48</v>
      </c>
      <c r="C454" s="2">
        <v>453</v>
      </c>
      <c r="D454" s="10" t="s">
        <v>649</v>
      </c>
      <c r="E454" s="10">
        <v>148</v>
      </c>
      <c r="F454" s="10">
        <v>290</v>
      </c>
      <c r="G454" s="52">
        <v>11.5</v>
      </c>
      <c r="H454" s="24">
        <v>0</v>
      </c>
      <c r="I454" s="53"/>
      <c r="J454" s="57"/>
      <c r="K454" s="24">
        <v>0</v>
      </c>
      <c r="L454" s="10">
        <v>0</v>
      </c>
      <c r="M454" s="57"/>
      <c r="N454" s="57"/>
      <c r="O454" s="57"/>
      <c r="P454" s="3"/>
      <c r="Q454" s="3"/>
      <c r="R454" s="58" t="s">
        <v>67</v>
      </c>
      <c r="S454" s="10" t="s">
        <v>699</v>
      </c>
      <c r="T454" s="3"/>
      <c r="U454" s="3"/>
      <c r="V454" s="66" t="s">
        <v>698</v>
      </c>
    </row>
    <row r="455" s="2" customFormat="1" ht="15.75" spans="2:22">
      <c r="B455" s="56">
        <v>49</v>
      </c>
      <c r="C455" s="2">
        <v>454</v>
      </c>
      <c r="D455" s="10" t="s">
        <v>649</v>
      </c>
      <c r="E455" s="10">
        <v>138</v>
      </c>
      <c r="F455" s="10">
        <v>286</v>
      </c>
      <c r="G455" s="52">
        <v>18.6</v>
      </c>
      <c r="H455" s="24">
        <v>0</v>
      </c>
      <c r="I455" s="53"/>
      <c r="J455" s="57"/>
      <c r="K455" s="24">
        <v>0</v>
      </c>
      <c r="L455" s="10">
        <v>0</v>
      </c>
      <c r="M455" s="57"/>
      <c r="N455" s="57"/>
      <c r="O455" s="57"/>
      <c r="P455" s="3"/>
      <c r="Q455" s="3"/>
      <c r="R455" s="58" t="s">
        <v>67</v>
      </c>
      <c r="S455" s="24" t="s">
        <v>700</v>
      </c>
      <c r="T455" s="3"/>
      <c r="U455" s="3"/>
      <c r="V455" s="66" t="s">
        <v>698</v>
      </c>
    </row>
    <row r="456" s="2" customFormat="1" ht="15.75" spans="2:22">
      <c r="B456" s="56">
        <v>50</v>
      </c>
      <c r="C456" s="2">
        <v>455</v>
      </c>
      <c r="D456" s="10" t="s">
        <v>649</v>
      </c>
      <c r="E456" s="10">
        <v>130</v>
      </c>
      <c r="F456" s="10">
        <v>220</v>
      </c>
      <c r="G456" s="52">
        <v>28.1</v>
      </c>
      <c r="H456" s="24">
        <v>0</v>
      </c>
      <c r="I456" s="53"/>
      <c r="J456" s="57"/>
      <c r="K456" s="24">
        <v>0</v>
      </c>
      <c r="L456" s="10">
        <v>0</v>
      </c>
      <c r="M456" s="57"/>
      <c r="N456" s="57"/>
      <c r="O456" s="57"/>
      <c r="P456" s="3"/>
      <c r="Q456" s="3"/>
      <c r="R456" s="58" t="s">
        <v>67</v>
      </c>
      <c r="S456" s="24" t="s">
        <v>701</v>
      </c>
      <c r="T456" s="3"/>
      <c r="U456" s="3"/>
      <c r="V456" s="66" t="s">
        <v>698</v>
      </c>
    </row>
    <row r="457" s="2" customFormat="1" ht="15.75" spans="2:22">
      <c r="B457" s="56">
        <v>51</v>
      </c>
      <c r="C457" s="2">
        <v>456</v>
      </c>
      <c r="D457" s="10" t="s">
        <v>649</v>
      </c>
      <c r="E457" s="10">
        <v>200</v>
      </c>
      <c r="F457" s="10">
        <v>300</v>
      </c>
      <c r="G457" s="52">
        <v>13</v>
      </c>
      <c r="H457" s="24">
        <v>0</v>
      </c>
      <c r="I457" s="53"/>
      <c r="J457" s="57"/>
      <c r="K457" s="24">
        <v>0</v>
      </c>
      <c r="L457" s="10">
        <v>0</v>
      </c>
      <c r="M457" s="57"/>
      <c r="N457" s="57"/>
      <c r="O457" s="57"/>
      <c r="P457" s="3"/>
      <c r="Q457" s="3"/>
      <c r="R457" s="58" t="s">
        <v>702</v>
      </c>
      <c r="S457" s="10"/>
      <c r="T457" s="3"/>
      <c r="U457" s="3"/>
      <c r="V457" s="65" t="s">
        <v>703</v>
      </c>
    </row>
    <row r="458" s="2" customFormat="1" ht="15.75" spans="2:22">
      <c r="B458" s="56">
        <v>52</v>
      </c>
      <c r="C458" s="2">
        <v>457</v>
      </c>
      <c r="D458" s="10" t="s">
        <v>649</v>
      </c>
      <c r="E458" s="10">
        <v>180</v>
      </c>
      <c r="F458" s="10">
        <v>275</v>
      </c>
      <c r="G458" s="52">
        <v>15</v>
      </c>
      <c r="H458" s="24">
        <v>0</v>
      </c>
      <c r="I458" s="53"/>
      <c r="J458" s="57"/>
      <c r="K458" s="24">
        <v>0</v>
      </c>
      <c r="L458" s="10">
        <v>0</v>
      </c>
      <c r="M458" s="57"/>
      <c r="N458" s="57"/>
      <c r="O458" s="57"/>
      <c r="P458" s="3"/>
      <c r="Q458" s="3"/>
      <c r="R458" s="58" t="s">
        <v>702</v>
      </c>
      <c r="S458" s="10"/>
      <c r="T458" s="3"/>
      <c r="U458" s="3"/>
      <c r="V458" s="65" t="s">
        <v>703</v>
      </c>
    </row>
    <row r="459" s="2" customFormat="1" ht="15.75" spans="2:22">
      <c r="B459" s="56">
        <v>53</v>
      </c>
      <c r="C459" s="2">
        <v>458</v>
      </c>
      <c r="D459" s="10" t="s">
        <v>649</v>
      </c>
      <c r="E459" s="10">
        <v>165</v>
      </c>
      <c r="F459" s="10">
        <v>280</v>
      </c>
      <c r="G459" s="52">
        <v>20</v>
      </c>
      <c r="H459" s="24">
        <v>0</v>
      </c>
      <c r="I459" s="53"/>
      <c r="J459" s="57"/>
      <c r="K459" s="24">
        <v>0</v>
      </c>
      <c r="L459" s="10">
        <v>0</v>
      </c>
      <c r="M459" s="57"/>
      <c r="N459" s="57"/>
      <c r="O459" s="57"/>
      <c r="P459" s="3"/>
      <c r="Q459" s="3"/>
      <c r="R459" s="58" t="s">
        <v>702</v>
      </c>
      <c r="S459" s="10"/>
      <c r="T459" s="3"/>
      <c r="U459" s="3"/>
      <c r="V459" s="65" t="s">
        <v>703</v>
      </c>
    </row>
    <row r="460" s="2" customFormat="1" ht="15.75" spans="2:22">
      <c r="B460" s="56">
        <v>54</v>
      </c>
      <c r="C460" s="2">
        <v>459</v>
      </c>
      <c r="D460" s="10" t="s">
        <v>649</v>
      </c>
      <c r="E460" s="10">
        <v>150</v>
      </c>
      <c r="F460" s="10">
        <v>230</v>
      </c>
      <c r="G460" s="52">
        <v>35</v>
      </c>
      <c r="H460" s="24">
        <v>0</v>
      </c>
      <c r="I460" s="53"/>
      <c r="J460" s="57"/>
      <c r="K460" s="24">
        <v>0</v>
      </c>
      <c r="L460" s="10">
        <v>0</v>
      </c>
      <c r="M460" s="57"/>
      <c r="N460" s="57"/>
      <c r="O460" s="57"/>
      <c r="P460" s="3"/>
      <c r="Q460" s="3"/>
      <c r="R460" s="58" t="s">
        <v>702</v>
      </c>
      <c r="S460" s="10"/>
      <c r="T460" s="3"/>
      <c r="U460" s="3"/>
      <c r="V460" s="65" t="s">
        <v>703</v>
      </c>
    </row>
    <row r="461" s="2" customFormat="1" ht="15.75" spans="2:22">
      <c r="B461" s="56">
        <v>55</v>
      </c>
      <c r="C461" s="2">
        <v>460</v>
      </c>
      <c r="D461" s="10" t="s">
        <v>649</v>
      </c>
      <c r="E461" s="10">
        <v>148</v>
      </c>
      <c r="F461" s="10">
        <v>180</v>
      </c>
      <c r="G461" s="52">
        <v>59</v>
      </c>
      <c r="H461" s="24">
        <v>0</v>
      </c>
      <c r="I461" s="53"/>
      <c r="J461" s="57"/>
      <c r="K461" s="24">
        <v>0</v>
      </c>
      <c r="L461" s="10">
        <v>0</v>
      </c>
      <c r="M461" s="57"/>
      <c r="N461" s="57"/>
      <c r="O461" s="57"/>
      <c r="P461" s="3"/>
      <c r="Q461" s="3"/>
      <c r="R461" s="58" t="s">
        <v>702</v>
      </c>
      <c r="S461" s="10"/>
      <c r="T461" s="3"/>
      <c r="U461" s="3"/>
      <c r="V461" s="65" t="s">
        <v>703</v>
      </c>
    </row>
    <row r="462" s="2" customFormat="1" ht="15.75" spans="2:22">
      <c r="B462" s="56">
        <v>56</v>
      </c>
      <c r="C462" s="2">
        <v>461</v>
      </c>
      <c r="D462" s="10" t="s">
        <v>649</v>
      </c>
      <c r="E462" s="10">
        <v>125</v>
      </c>
      <c r="F462" s="10">
        <v>190</v>
      </c>
      <c r="G462" s="52">
        <v>220</v>
      </c>
      <c r="H462" s="24">
        <v>0</v>
      </c>
      <c r="I462" s="53"/>
      <c r="J462" s="57"/>
      <c r="K462" s="24">
        <v>0</v>
      </c>
      <c r="L462" s="10">
        <v>0</v>
      </c>
      <c r="M462" s="57"/>
      <c r="N462" s="57"/>
      <c r="O462" s="57"/>
      <c r="P462" s="3"/>
      <c r="Q462" s="3"/>
      <c r="R462" s="58" t="s">
        <v>702</v>
      </c>
      <c r="S462" s="10"/>
      <c r="T462" s="3"/>
      <c r="U462" s="3"/>
      <c r="V462" s="65" t="s">
        <v>703</v>
      </c>
    </row>
    <row r="463" s="2" customFormat="1" ht="15.75" spans="2:22">
      <c r="B463" s="56">
        <v>57</v>
      </c>
      <c r="C463" s="2">
        <v>462</v>
      </c>
      <c r="D463" s="10" t="s">
        <v>649</v>
      </c>
      <c r="E463" s="10">
        <v>170</v>
      </c>
      <c r="F463" s="10">
        <v>285</v>
      </c>
      <c r="G463" s="52">
        <v>13</v>
      </c>
      <c r="H463" s="24">
        <v>0</v>
      </c>
      <c r="I463" s="53"/>
      <c r="J463" s="57"/>
      <c r="K463" s="24">
        <v>0</v>
      </c>
      <c r="L463" s="10">
        <v>0</v>
      </c>
      <c r="M463" s="57"/>
      <c r="N463" s="57"/>
      <c r="O463" s="57"/>
      <c r="P463" s="3"/>
      <c r="Q463" s="3"/>
      <c r="R463" s="58" t="s">
        <v>702</v>
      </c>
      <c r="S463" s="10"/>
      <c r="T463" s="3"/>
      <c r="U463" s="3"/>
      <c r="V463" s="65" t="s">
        <v>703</v>
      </c>
    </row>
    <row r="464" s="2" customFormat="1" ht="15.75" spans="2:22">
      <c r="B464" s="56">
        <v>58</v>
      </c>
      <c r="C464" s="2">
        <v>463</v>
      </c>
      <c r="D464" s="10" t="s">
        <v>649</v>
      </c>
      <c r="E464" s="10">
        <v>148</v>
      </c>
      <c r="F464" s="10">
        <v>280</v>
      </c>
      <c r="G464" s="52">
        <v>15</v>
      </c>
      <c r="H464" s="24">
        <v>0</v>
      </c>
      <c r="I464" s="53"/>
      <c r="J464" s="57"/>
      <c r="K464" s="24">
        <v>0</v>
      </c>
      <c r="L464" s="10">
        <v>0</v>
      </c>
      <c r="M464" s="57"/>
      <c r="N464" s="57"/>
      <c r="O464" s="57"/>
      <c r="P464" s="3"/>
      <c r="Q464" s="3"/>
      <c r="R464" s="58" t="s">
        <v>702</v>
      </c>
      <c r="S464" s="10"/>
      <c r="T464" s="3"/>
      <c r="U464" s="3"/>
      <c r="V464" s="65" t="s">
        <v>703</v>
      </c>
    </row>
    <row r="465" s="2" customFormat="1" ht="15.75" spans="2:22">
      <c r="B465" s="56">
        <v>59</v>
      </c>
      <c r="C465" s="2">
        <v>464</v>
      </c>
      <c r="D465" s="10" t="s">
        <v>649</v>
      </c>
      <c r="E465" s="10">
        <v>148</v>
      </c>
      <c r="F465" s="10">
        <v>280</v>
      </c>
      <c r="G465" s="52">
        <v>20</v>
      </c>
      <c r="H465" s="24">
        <v>0</v>
      </c>
      <c r="I465" s="53"/>
      <c r="J465" s="57"/>
      <c r="K465" s="24">
        <v>0</v>
      </c>
      <c r="L465" s="10">
        <v>0</v>
      </c>
      <c r="M465" s="57"/>
      <c r="N465" s="57"/>
      <c r="O465" s="57"/>
      <c r="P465" s="3"/>
      <c r="Q465" s="3"/>
      <c r="R465" s="58" t="s">
        <v>702</v>
      </c>
      <c r="S465" s="10"/>
      <c r="T465" s="3"/>
      <c r="U465" s="3"/>
      <c r="V465" s="65" t="s">
        <v>703</v>
      </c>
    </row>
    <row r="466" s="2" customFormat="1" ht="15.75" spans="2:22">
      <c r="B466" s="56">
        <v>60</v>
      </c>
      <c r="C466" s="2">
        <v>465</v>
      </c>
      <c r="D466" s="10" t="s">
        <v>649</v>
      </c>
      <c r="E466" s="10">
        <v>145</v>
      </c>
      <c r="F466" s="10">
        <v>275</v>
      </c>
      <c r="G466" s="52">
        <v>22</v>
      </c>
      <c r="H466" s="24">
        <v>0</v>
      </c>
      <c r="I466" s="53"/>
      <c r="J466" s="57"/>
      <c r="K466" s="24">
        <v>0</v>
      </c>
      <c r="L466" s="10">
        <v>0</v>
      </c>
      <c r="M466" s="57"/>
      <c r="N466" s="57"/>
      <c r="O466" s="57"/>
      <c r="P466" s="3"/>
      <c r="Q466" s="3"/>
      <c r="R466" s="58" t="s">
        <v>702</v>
      </c>
      <c r="S466" s="10"/>
      <c r="T466" s="3"/>
      <c r="U466" s="3"/>
      <c r="V466" s="65" t="s">
        <v>703</v>
      </c>
    </row>
    <row r="467" s="2" customFormat="1" ht="15.75" spans="2:22">
      <c r="B467" s="56">
        <v>61</v>
      </c>
      <c r="C467" s="2">
        <v>466</v>
      </c>
      <c r="D467" s="10" t="s">
        <v>649</v>
      </c>
      <c r="E467" s="10">
        <v>128</v>
      </c>
      <c r="F467" s="10">
        <v>225</v>
      </c>
      <c r="G467" s="52">
        <v>35</v>
      </c>
      <c r="H467" s="24">
        <v>0</v>
      </c>
      <c r="I467" s="53"/>
      <c r="J467" s="57"/>
      <c r="K467" s="24">
        <v>0</v>
      </c>
      <c r="L467" s="10">
        <v>0</v>
      </c>
      <c r="M467" s="57"/>
      <c r="N467" s="57"/>
      <c r="O467" s="57"/>
      <c r="P467" s="3"/>
      <c r="Q467" s="3"/>
      <c r="R467" s="58" t="s">
        <v>702</v>
      </c>
      <c r="S467" s="10"/>
      <c r="T467" s="3"/>
      <c r="U467" s="3"/>
      <c r="V467" s="65" t="s">
        <v>703</v>
      </c>
    </row>
    <row r="468" s="2" customFormat="1" ht="15.75" spans="2:22">
      <c r="B468" s="56">
        <v>62</v>
      </c>
      <c r="C468" s="2">
        <v>467</v>
      </c>
      <c r="D468" s="10" t="s">
        <v>649</v>
      </c>
      <c r="E468" s="10">
        <v>125</v>
      </c>
      <c r="F468" s="10">
        <v>270</v>
      </c>
      <c r="G468" s="52">
        <v>42</v>
      </c>
      <c r="H468" s="24">
        <v>0</v>
      </c>
      <c r="I468" s="53"/>
      <c r="J468" s="57"/>
      <c r="K468" s="24">
        <v>0</v>
      </c>
      <c r="L468" s="10">
        <v>0</v>
      </c>
      <c r="M468" s="57"/>
      <c r="N468" s="57"/>
      <c r="O468" s="57"/>
      <c r="P468" s="3"/>
      <c r="Q468" s="3"/>
      <c r="R468" s="58" t="s">
        <v>702</v>
      </c>
      <c r="S468" s="10"/>
      <c r="T468" s="3"/>
      <c r="U468" s="3"/>
      <c r="V468" s="65" t="s">
        <v>703</v>
      </c>
    </row>
    <row r="469" s="2" customFormat="1" ht="15.75" spans="2:22">
      <c r="B469" s="56">
        <v>63</v>
      </c>
      <c r="C469" s="2">
        <v>468</v>
      </c>
      <c r="D469" s="10" t="s">
        <v>649</v>
      </c>
      <c r="E469" s="10">
        <v>120</v>
      </c>
      <c r="F469" s="10">
        <v>250</v>
      </c>
      <c r="G469" s="52">
        <v>89</v>
      </c>
      <c r="H469" s="24">
        <v>0</v>
      </c>
      <c r="I469" s="53"/>
      <c r="J469" s="57"/>
      <c r="K469" s="24">
        <v>0</v>
      </c>
      <c r="L469" s="10">
        <v>0</v>
      </c>
      <c r="M469" s="57"/>
      <c r="N469" s="57"/>
      <c r="O469" s="57"/>
      <c r="P469" s="3"/>
      <c r="Q469" s="3"/>
      <c r="R469" s="58" t="s">
        <v>702</v>
      </c>
      <c r="S469" s="10"/>
      <c r="T469" s="3"/>
      <c r="U469" s="3"/>
      <c r="V469" s="65" t="s">
        <v>703</v>
      </c>
    </row>
    <row r="470" s="2" customFormat="1" ht="15.75" spans="2:22">
      <c r="B470" s="56">
        <v>64</v>
      </c>
      <c r="C470" s="2">
        <v>469</v>
      </c>
      <c r="D470" s="10" t="s">
        <v>704</v>
      </c>
      <c r="E470" s="10">
        <v>172</v>
      </c>
      <c r="F470" s="10">
        <v>220</v>
      </c>
      <c r="G470" s="52">
        <v>9</v>
      </c>
      <c r="H470" s="24">
        <v>0</v>
      </c>
      <c r="I470" s="53"/>
      <c r="J470" s="57"/>
      <c r="K470" s="24">
        <v>0</v>
      </c>
      <c r="L470" s="10">
        <v>0</v>
      </c>
      <c r="M470" s="57"/>
      <c r="N470" s="57"/>
      <c r="O470" s="57"/>
      <c r="P470" s="3"/>
      <c r="Q470" s="3"/>
      <c r="R470" s="58" t="s">
        <v>63</v>
      </c>
      <c r="S470" s="10" t="s">
        <v>705</v>
      </c>
      <c r="T470" s="3"/>
      <c r="U470" s="3"/>
      <c r="V470" s="67" t="s">
        <v>706</v>
      </c>
    </row>
    <row r="471" s="2" customFormat="1" ht="15.75" spans="2:22">
      <c r="B471" s="56">
        <v>65</v>
      </c>
      <c r="C471" s="2">
        <v>470</v>
      </c>
      <c r="D471" s="10" t="s">
        <v>707</v>
      </c>
      <c r="E471" s="10">
        <v>165</v>
      </c>
      <c r="F471" s="10">
        <v>235</v>
      </c>
      <c r="G471" s="52">
        <v>9</v>
      </c>
      <c r="H471" s="24">
        <v>0</v>
      </c>
      <c r="I471" s="53"/>
      <c r="J471" s="57"/>
      <c r="K471" s="24">
        <v>0</v>
      </c>
      <c r="L471" s="10">
        <v>0</v>
      </c>
      <c r="M471" s="57"/>
      <c r="N471" s="57"/>
      <c r="O471" s="57"/>
      <c r="P471" s="3"/>
      <c r="Q471" s="3"/>
      <c r="R471" s="58" t="s">
        <v>63</v>
      </c>
      <c r="S471" s="10" t="s">
        <v>705</v>
      </c>
      <c r="T471" s="3"/>
      <c r="U471" s="3"/>
      <c r="V471" s="67" t="s">
        <v>706</v>
      </c>
    </row>
    <row r="472" s="2" customFormat="1" ht="15.75" spans="2:22">
      <c r="B472" s="56">
        <v>66</v>
      </c>
      <c r="C472" s="2">
        <v>471</v>
      </c>
      <c r="D472" s="10" t="s">
        <v>708</v>
      </c>
      <c r="E472" s="10">
        <v>190</v>
      </c>
      <c r="F472" s="10">
        <v>295</v>
      </c>
      <c r="G472" s="52">
        <v>9</v>
      </c>
      <c r="H472" s="24">
        <v>0</v>
      </c>
      <c r="I472" s="53"/>
      <c r="J472" s="57"/>
      <c r="K472" s="24">
        <v>0</v>
      </c>
      <c r="L472" s="10">
        <v>0</v>
      </c>
      <c r="M472" s="57"/>
      <c r="N472" s="57"/>
      <c r="O472" s="57"/>
      <c r="P472" s="3"/>
      <c r="Q472" s="3"/>
      <c r="R472" s="58" t="s">
        <v>63</v>
      </c>
      <c r="S472" s="10" t="s">
        <v>705</v>
      </c>
      <c r="T472" s="3"/>
      <c r="U472" s="3"/>
      <c r="V472" s="67" t="s">
        <v>706</v>
      </c>
    </row>
    <row r="473" s="2" customFormat="1" ht="15.75" spans="2:22">
      <c r="B473" s="56">
        <v>67</v>
      </c>
      <c r="C473" s="2">
        <v>472</v>
      </c>
      <c r="D473" s="10" t="s">
        <v>709</v>
      </c>
      <c r="E473" s="10">
        <v>185</v>
      </c>
      <c r="F473" s="10">
        <v>320</v>
      </c>
      <c r="G473" s="52">
        <v>8</v>
      </c>
      <c r="H473" s="24">
        <v>0</v>
      </c>
      <c r="I473" s="53"/>
      <c r="J473" s="57"/>
      <c r="K473" s="24">
        <v>0</v>
      </c>
      <c r="L473" s="10">
        <v>0</v>
      </c>
      <c r="M473" s="57"/>
      <c r="N473" s="57"/>
      <c r="O473" s="57"/>
      <c r="P473" s="3"/>
      <c r="Q473" s="3"/>
      <c r="R473" s="58" t="s">
        <v>63</v>
      </c>
      <c r="S473" s="10" t="s">
        <v>705</v>
      </c>
      <c r="T473" s="3"/>
      <c r="U473" s="3"/>
      <c r="V473" s="67" t="s">
        <v>706</v>
      </c>
    </row>
    <row r="474" s="2" customFormat="1" ht="15.75" spans="2:22">
      <c r="B474" s="56">
        <v>68</v>
      </c>
      <c r="C474" s="2">
        <v>473</v>
      </c>
      <c r="D474" s="10" t="s">
        <v>704</v>
      </c>
      <c r="E474" s="10">
        <v>180</v>
      </c>
      <c r="F474" s="10">
        <v>320</v>
      </c>
      <c r="G474" s="52">
        <v>12</v>
      </c>
      <c r="H474" s="24">
        <v>0</v>
      </c>
      <c r="I474" s="53"/>
      <c r="J474" s="57"/>
      <c r="K474" s="24">
        <v>0</v>
      </c>
      <c r="L474" s="10">
        <v>0</v>
      </c>
      <c r="M474" s="57"/>
      <c r="N474" s="57"/>
      <c r="O474" s="57"/>
      <c r="P474" s="3"/>
      <c r="Q474" s="3"/>
      <c r="R474" s="58" t="s">
        <v>63</v>
      </c>
      <c r="S474" s="10" t="s">
        <v>710</v>
      </c>
      <c r="T474" s="3"/>
      <c r="U474" s="3"/>
      <c r="V474" s="67" t="s">
        <v>706</v>
      </c>
    </row>
    <row r="475" s="2" customFormat="1" ht="15.75" spans="2:22">
      <c r="B475" s="56">
        <v>69</v>
      </c>
      <c r="C475" s="2">
        <v>474</v>
      </c>
      <c r="D475" s="10" t="s">
        <v>707</v>
      </c>
      <c r="E475" s="10">
        <v>180</v>
      </c>
      <c r="F475" s="10">
        <v>320</v>
      </c>
      <c r="G475" s="52">
        <v>11</v>
      </c>
      <c r="H475" s="24">
        <v>0</v>
      </c>
      <c r="I475" s="53"/>
      <c r="J475" s="57"/>
      <c r="K475" s="24">
        <v>0</v>
      </c>
      <c r="L475" s="10">
        <v>0</v>
      </c>
      <c r="M475" s="57"/>
      <c r="N475" s="57"/>
      <c r="O475" s="57"/>
      <c r="P475" s="3"/>
      <c r="Q475" s="3"/>
      <c r="R475" s="58" t="s">
        <v>63</v>
      </c>
      <c r="S475" s="10" t="s">
        <v>710</v>
      </c>
      <c r="T475" s="3"/>
      <c r="U475" s="3"/>
      <c r="V475" s="67" t="s">
        <v>706</v>
      </c>
    </row>
    <row r="476" s="2" customFormat="1" ht="15.75" spans="2:22">
      <c r="B476" s="56">
        <v>70</v>
      </c>
      <c r="C476" s="2">
        <v>475</v>
      </c>
      <c r="D476" s="10" t="s">
        <v>708</v>
      </c>
      <c r="E476" s="10">
        <v>200</v>
      </c>
      <c r="F476" s="10">
        <v>334</v>
      </c>
      <c r="G476" s="52">
        <v>11</v>
      </c>
      <c r="H476" s="24">
        <v>0</v>
      </c>
      <c r="I476" s="53"/>
      <c r="J476" s="57"/>
      <c r="K476" s="24">
        <v>0</v>
      </c>
      <c r="L476" s="10">
        <v>0</v>
      </c>
      <c r="M476" s="57"/>
      <c r="N476" s="57"/>
      <c r="O476" s="57"/>
      <c r="P476" s="3"/>
      <c r="Q476" s="3"/>
      <c r="R476" s="58" t="s">
        <v>63</v>
      </c>
      <c r="S476" s="10" t="s">
        <v>710</v>
      </c>
      <c r="T476" s="3"/>
      <c r="U476" s="3"/>
      <c r="V476" s="67" t="s">
        <v>706</v>
      </c>
    </row>
    <row r="477" s="2" customFormat="1" ht="15.75" spans="2:22">
      <c r="B477" s="56">
        <v>71</v>
      </c>
      <c r="C477" s="2">
        <v>476</v>
      </c>
      <c r="D477" s="10" t="s">
        <v>709</v>
      </c>
      <c r="E477" s="10">
        <v>200</v>
      </c>
      <c r="F477" s="10">
        <v>340</v>
      </c>
      <c r="G477" s="52">
        <v>10</v>
      </c>
      <c r="H477" s="24">
        <v>0</v>
      </c>
      <c r="I477" s="53"/>
      <c r="J477" s="57"/>
      <c r="K477" s="24">
        <v>0</v>
      </c>
      <c r="L477" s="10">
        <v>0</v>
      </c>
      <c r="M477" s="57"/>
      <c r="N477" s="57"/>
      <c r="O477" s="57"/>
      <c r="P477" s="3"/>
      <c r="Q477" s="3"/>
      <c r="R477" s="58" t="s">
        <v>63</v>
      </c>
      <c r="S477" s="10" t="s">
        <v>710</v>
      </c>
      <c r="T477" s="3"/>
      <c r="U477" s="3"/>
      <c r="V477" s="67" t="s">
        <v>706</v>
      </c>
    </row>
    <row r="478" s="2" customFormat="1" ht="15.75" spans="2:22">
      <c r="B478" s="56">
        <v>72</v>
      </c>
      <c r="C478" s="2">
        <v>477</v>
      </c>
      <c r="D478" s="10" t="s">
        <v>704</v>
      </c>
      <c r="E478" s="10">
        <v>195</v>
      </c>
      <c r="F478" s="10">
        <v>355</v>
      </c>
      <c r="G478" s="52">
        <v>12</v>
      </c>
      <c r="H478" s="24">
        <v>0</v>
      </c>
      <c r="I478" s="53"/>
      <c r="J478" s="57"/>
      <c r="K478" s="24">
        <v>0</v>
      </c>
      <c r="L478" s="10">
        <v>0</v>
      </c>
      <c r="M478" s="57"/>
      <c r="N478" s="57"/>
      <c r="O478" s="57"/>
      <c r="P478" s="3"/>
      <c r="Q478" s="3"/>
      <c r="R478" s="58" t="s">
        <v>63</v>
      </c>
      <c r="S478" s="10" t="s">
        <v>711</v>
      </c>
      <c r="T478" s="3"/>
      <c r="U478" s="3"/>
      <c r="V478" s="67" t="s">
        <v>706</v>
      </c>
    </row>
    <row r="479" s="2" customFormat="1" ht="15.75" spans="2:22">
      <c r="B479" s="56">
        <v>73</v>
      </c>
      <c r="C479" s="2">
        <v>478</v>
      </c>
      <c r="D479" s="10" t="s">
        <v>707</v>
      </c>
      <c r="E479" s="10">
        <v>195</v>
      </c>
      <c r="F479" s="10">
        <v>357</v>
      </c>
      <c r="G479" s="52">
        <v>14</v>
      </c>
      <c r="H479" s="24">
        <v>0</v>
      </c>
      <c r="I479" s="53"/>
      <c r="J479" s="57"/>
      <c r="K479" s="24">
        <v>0</v>
      </c>
      <c r="L479" s="10">
        <v>0</v>
      </c>
      <c r="M479" s="57"/>
      <c r="N479" s="57"/>
      <c r="O479" s="57"/>
      <c r="P479" s="3"/>
      <c r="Q479" s="3"/>
      <c r="R479" s="58" t="s">
        <v>63</v>
      </c>
      <c r="S479" s="10" t="s">
        <v>711</v>
      </c>
      <c r="T479" s="3"/>
      <c r="U479" s="3"/>
      <c r="V479" s="67" t="s">
        <v>706</v>
      </c>
    </row>
    <row r="480" s="2" customFormat="1" ht="15.75" spans="2:22">
      <c r="B480" s="56">
        <v>74</v>
      </c>
      <c r="C480" s="2">
        <v>479</v>
      </c>
      <c r="D480" s="10" t="s">
        <v>708</v>
      </c>
      <c r="E480" s="10">
        <v>210</v>
      </c>
      <c r="F480" s="10">
        <v>300</v>
      </c>
      <c r="G480" s="52">
        <v>11</v>
      </c>
      <c r="H480" s="24">
        <v>0</v>
      </c>
      <c r="I480" s="53"/>
      <c r="J480" s="57"/>
      <c r="K480" s="24">
        <v>0</v>
      </c>
      <c r="L480" s="10">
        <v>0</v>
      </c>
      <c r="M480" s="57"/>
      <c r="N480" s="57"/>
      <c r="O480" s="57"/>
      <c r="P480" s="3"/>
      <c r="Q480" s="3"/>
      <c r="R480" s="58" t="s">
        <v>63</v>
      </c>
      <c r="S480" s="10" t="s">
        <v>711</v>
      </c>
      <c r="T480" s="3"/>
      <c r="U480" s="3"/>
      <c r="V480" s="67" t="s">
        <v>706</v>
      </c>
    </row>
    <row r="481" s="2" customFormat="1" ht="15.75" spans="2:22">
      <c r="B481" s="56">
        <v>75</v>
      </c>
      <c r="C481" s="2">
        <v>480</v>
      </c>
      <c r="D481" s="10" t="s">
        <v>709</v>
      </c>
      <c r="E481" s="10">
        <v>190</v>
      </c>
      <c r="F481" s="10">
        <v>280</v>
      </c>
      <c r="G481" s="52">
        <v>11</v>
      </c>
      <c r="H481" s="24">
        <v>0</v>
      </c>
      <c r="I481" s="53"/>
      <c r="J481" s="57"/>
      <c r="K481" s="24">
        <v>0</v>
      </c>
      <c r="L481" s="10">
        <v>0</v>
      </c>
      <c r="M481" s="57"/>
      <c r="N481" s="57"/>
      <c r="O481" s="57"/>
      <c r="P481" s="3"/>
      <c r="Q481" s="3"/>
      <c r="R481" s="58" t="s">
        <v>63</v>
      </c>
      <c r="S481" s="10" t="s">
        <v>711</v>
      </c>
      <c r="T481" s="3"/>
      <c r="U481" s="3"/>
      <c r="V481" s="67" t="s">
        <v>706</v>
      </c>
    </row>
    <row r="482" s="2" customFormat="1" ht="15.75" spans="2:22">
      <c r="B482" s="56">
        <v>76</v>
      </c>
      <c r="C482" s="2">
        <v>481</v>
      </c>
      <c r="D482" s="10" t="s">
        <v>712</v>
      </c>
      <c r="E482" s="10">
        <v>280</v>
      </c>
      <c r="F482" s="10">
        <v>323</v>
      </c>
      <c r="G482" s="52">
        <v>2.5</v>
      </c>
      <c r="H482" s="24">
        <v>0</v>
      </c>
      <c r="I482" s="53"/>
      <c r="J482" s="57"/>
      <c r="K482" s="24">
        <v>0</v>
      </c>
      <c r="L482" s="10">
        <v>0</v>
      </c>
      <c r="M482" s="57"/>
      <c r="N482" s="57"/>
      <c r="O482" s="57"/>
      <c r="P482" s="3"/>
      <c r="Q482" s="3"/>
      <c r="R482" s="58" t="s">
        <v>63</v>
      </c>
      <c r="S482" s="24" t="s">
        <v>713</v>
      </c>
      <c r="T482" s="3"/>
      <c r="U482" s="3"/>
      <c r="V482" s="61" t="s">
        <v>714</v>
      </c>
    </row>
    <row r="483" s="2" customFormat="1" ht="15.75" spans="2:22">
      <c r="B483" s="56">
        <v>77</v>
      </c>
      <c r="C483" s="2">
        <v>482</v>
      </c>
      <c r="D483" s="10" t="s">
        <v>712</v>
      </c>
      <c r="E483" s="10">
        <v>272</v>
      </c>
      <c r="F483" s="10">
        <v>318</v>
      </c>
      <c r="G483" s="52">
        <v>2.6</v>
      </c>
      <c r="H483" s="24">
        <v>0</v>
      </c>
      <c r="I483" s="53"/>
      <c r="J483" s="57"/>
      <c r="K483" s="24">
        <v>0</v>
      </c>
      <c r="L483" s="10">
        <v>0</v>
      </c>
      <c r="M483" s="57"/>
      <c r="N483" s="57"/>
      <c r="O483" s="57"/>
      <c r="P483" s="3"/>
      <c r="Q483" s="3"/>
      <c r="R483" s="58" t="s">
        <v>63</v>
      </c>
      <c r="S483" s="24" t="s">
        <v>715</v>
      </c>
      <c r="T483" s="3"/>
      <c r="U483" s="3"/>
      <c r="V483" s="61" t="s">
        <v>714</v>
      </c>
    </row>
    <row r="484" s="2" customFormat="1" ht="15.75" spans="2:22">
      <c r="B484" s="56">
        <v>78</v>
      </c>
      <c r="C484" s="2">
        <v>483</v>
      </c>
      <c r="D484" s="10" t="s">
        <v>712</v>
      </c>
      <c r="E484" s="10">
        <v>265</v>
      </c>
      <c r="F484" s="10">
        <v>317</v>
      </c>
      <c r="G484" s="52">
        <v>2.7</v>
      </c>
      <c r="H484" s="24">
        <v>0</v>
      </c>
      <c r="I484" s="53"/>
      <c r="J484" s="57"/>
      <c r="K484" s="24">
        <v>0</v>
      </c>
      <c r="L484" s="10">
        <v>0</v>
      </c>
      <c r="M484" s="57"/>
      <c r="N484" s="57"/>
      <c r="O484" s="57"/>
      <c r="P484" s="3"/>
      <c r="Q484" s="3"/>
      <c r="R484" s="58" t="s">
        <v>63</v>
      </c>
      <c r="S484" s="24" t="s">
        <v>716</v>
      </c>
      <c r="T484" s="3"/>
      <c r="U484" s="3"/>
      <c r="V484" s="61" t="s">
        <v>714</v>
      </c>
    </row>
    <row r="485" s="2" customFormat="1" ht="15.75" spans="2:22">
      <c r="B485" s="56">
        <v>79</v>
      </c>
      <c r="C485" s="2">
        <v>484</v>
      </c>
      <c r="D485" s="10" t="s">
        <v>712</v>
      </c>
      <c r="E485" s="10">
        <v>260</v>
      </c>
      <c r="F485" s="10">
        <v>306</v>
      </c>
      <c r="G485" s="52">
        <v>2.8</v>
      </c>
      <c r="H485" s="24">
        <v>0</v>
      </c>
      <c r="I485" s="53"/>
      <c r="J485" s="57"/>
      <c r="K485" s="24">
        <v>0</v>
      </c>
      <c r="L485" s="10">
        <v>0</v>
      </c>
      <c r="M485" s="57"/>
      <c r="N485" s="57"/>
      <c r="O485" s="57"/>
      <c r="P485" s="3"/>
      <c r="Q485" s="3"/>
      <c r="R485" s="58" t="s">
        <v>63</v>
      </c>
      <c r="S485" s="10" t="s">
        <v>717</v>
      </c>
      <c r="T485" s="3"/>
      <c r="U485" s="3"/>
      <c r="V485" s="61" t="s">
        <v>714</v>
      </c>
    </row>
    <row r="486" s="2" customFormat="1" ht="15.75" spans="2:22">
      <c r="B486" s="56">
        <v>80</v>
      </c>
      <c r="C486" s="2">
        <v>485</v>
      </c>
      <c r="D486" s="10" t="s">
        <v>712</v>
      </c>
      <c r="E486" s="10">
        <v>255</v>
      </c>
      <c r="F486" s="10">
        <v>302</v>
      </c>
      <c r="G486" s="52">
        <v>2.9</v>
      </c>
      <c r="H486" s="24">
        <v>0</v>
      </c>
      <c r="I486" s="53"/>
      <c r="J486" s="57"/>
      <c r="K486" s="24">
        <v>0</v>
      </c>
      <c r="L486" s="10">
        <v>0</v>
      </c>
      <c r="M486" s="57"/>
      <c r="N486" s="57"/>
      <c r="O486" s="57"/>
      <c r="P486" s="3"/>
      <c r="Q486" s="3"/>
      <c r="R486" s="58" t="s">
        <v>63</v>
      </c>
      <c r="S486" s="10" t="s">
        <v>718</v>
      </c>
      <c r="T486" s="3"/>
      <c r="U486" s="3"/>
      <c r="V486" s="61" t="s">
        <v>714</v>
      </c>
    </row>
    <row r="487" s="2" customFormat="1" ht="15.75" spans="2:22">
      <c r="B487" s="56">
        <v>81</v>
      </c>
      <c r="C487" s="2">
        <v>486</v>
      </c>
      <c r="D487" s="10" t="s">
        <v>712</v>
      </c>
      <c r="E487" s="10">
        <v>235</v>
      </c>
      <c r="F487" s="10">
        <v>290</v>
      </c>
      <c r="G487" s="52">
        <v>3.7</v>
      </c>
      <c r="H487" s="24">
        <v>0</v>
      </c>
      <c r="I487" s="53"/>
      <c r="J487" s="57"/>
      <c r="K487" s="24">
        <v>0</v>
      </c>
      <c r="L487" s="10">
        <v>0</v>
      </c>
      <c r="M487" s="57"/>
      <c r="N487" s="57"/>
      <c r="O487" s="57"/>
      <c r="P487" s="3"/>
      <c r="Q487" s="3"/>
      <c r="R487" s="58" t="s">
        <v>63</v>
      </c>
      <c r="S487" s="10" t="s">
        <v>719</v>
      </c>
      <c r="T487" s="3"/>
      <c r="U487" s="3"/>
      <c r="V487" s="61" t="s">
        <v>714</v>
      </c>
    </row>
    <row r="488" s="2" customFormat="1" ht="15.75" spans="2:22">
      <c r="B488" s="56">
        <v>82</v>
      </c>
      <c r="C488" s="2">
        <v>487</v>
      </c>
      <c r="D488" s="10" t="s">
        <v>712</v>
      </c>
      <c r="E488" s="10">
        <v>232</v>
      </c>
      <c r="F488" s="10">
        <v>275</v>
      </c>
      <c r="G488" s="52">
        <v>3.8</v>
      </c>
      <c r="H488" s="24">
        <v>0</v>
      </c>
      <c r="I488" s="53"/>
      <c r="J488" s="57"/>
      <c r="K488" s="24">
        <v>0</v>
      </c>
      <c r="L488" s="10">
        <v>0</v>
      </c>
      <c r="M488" s="57"/>
      <c r="N488" s="57"/>
      <c r="O488" s="57"/>
      <c r="P488" s="3"/>
      <c r="Q488" s="3"/>
      <c r="R488" s="58" t="s">
        <v>63</v>
      </c>
      <c r="S488" s="10" t="s">
        <v>720</v>
      </c>
      <c r="T488" s="3"/>
      <c r="U488" s="3"/>
      <c r="V488" s="61" t="s">
        <v>714</v>
      </c>
    </row>
    <row r="489" s="2" customFormat="1" ht="15.75" spans="2:22">
      <c r="B489" s="56">
        <v>83</v>
      </c>
      <c r="C489" s="2">
        <v>488</v>
      </c>
      <c r="D489" s="10" t="s">
        <v>712</v>
      </c>
      <c r="E489" s="10">
        <v>210</v>
      </c>
      <c r="F489" s="10">
        <v>273</v>
      </c>
      <c r="G489" s="52">
        <v>5.2</v>
      </c>
      <c r="H489" s="24">
        <v>0</v>
      </c>
      <c r="I489" s="53"/>
      <c r="J489" s="57"/>
      <c r="K489" s="24">
        <v>0</v>
      </c>
      <c r="L489" s="10">
        <v>0</v>
      </c>
      <c r="M489" s="57"/>
      <c r="N489" s="57"/>
      <c r="O489" s="57"/>
      <c r="P489" s="3"/>
      <c r="Q489" s="3"/>
      <c r="R489" s="58" t="s">
        <v>63</v>
      </c>
      <c r="S489" s="10" t="s">
        <v>721</v>
      </c>
      <c r="T489" s="3"/>
      <c r="U489" s="3"/>
      <c r="V489" s="61" t="s">
        <v>714</v>
      </c>
    </row>
    <row r="490" s="2" customFormat="1" ht="15.75" spans="2:22">
      <c r="B490" s="56">
        <v>84</v>
      </c>
      <c r="C490" s="2">
        <v>489</v>
      </c>
      <c r="D490" s="10" t="s">
        <v>712</v>
      </c>
      <c r="E490" s="10">
        <v>190</v>
      </c>
      <c r="F490" s="10">
        <v>270</v>
      </c>
      <c r="G490" s="52">
        <v>8</v>
      </c>
      <c r="H490" s="24">
        <v>0</v>
      </c>
      <c r="I490" s="53"/>
      <c r="J490" s="57"/>
      <c r="K490" s="24">
        <v>0</v>
      </c>
      <c r="L490" s="10">
        <v>0</v>
      </c>
      <c r="M490" s="57"/>
      <c r="N490" s="57"/>
      <c r="O490" s="57"/>
      <c r="P490" s="3"/>
      <c r="Q490" s="3"/>
      <c r="R490" s="58" t="s">
        <v>63</v>
      </c>
      <c r="S490" s="10" t="s">
        <v>722</v>
      </c>
      <c r="T490" s="3"/>
      <c r="U490" s="3"/>
      <c r="V490" s="61" t="s">
        <v>714</v>
      </c>
    </row>
    <row r="491" s="2" customFormat="1" ht="15.75" spans="2:22">
      <c r="B491" s="56">
        <v>85</v>
      </c>
      <c r="C491" s="2">
        <v>490</v>
      </c>
      <c r="D491" s="10" t="s">
        <v>712</v>
      </c>
      <c r="E491" s="10">
        <v>110</v>
      </c>
      <c r="F491" s="10">
        <v>235</v>
      </c>
      <c r="G491" s="52">
        <v>2.6</v>
      </c>
      <c r="H491" s="24">
        <v>0</v>
      </c>
      <c r="I491" s="53"/>
      <c r="J491" s="57"/>
      <c r="K491" s="24">
        <v>0</v>
      </c>
      <c r="L491" s="10">
        <v>0</v>
      </c>
      <c r="M491" s="57"/>
      <c r="N491" s="57"/>
      <c r="O491" s="57"/>
      <c r="P491" s="3"/>
      <c r="Q491" s="3"/>
      <c r="R491" s="58" t="s">
        <v>723</v>
      </c>
      <c r="S491" s="10" t="s">
        <v>724</v>
      </c>
      <c r="T491" s="3"/>
      <c r="U491" s="3"/>
      <c r="V491" s="61" t="s">
        <v>714</v>
      </c>
    </row>
    <row r="492" s="2" customFormat="1" ht="15.75" spans="2:22">
      <c r="B492" s="56">
        <v>86</v>
      </c>
      <c r="C492" s="2">
        <v>491</v>
      </c>
      <c r="D492" s="10" t="s">
        <v>712</v>
      </c>
      <c r="E492" s="10">
        <v>105</v>
      </c>
      <c r="F492" s="10">
        <v>230</v>
      </c>
      <c r="G492" s="52">
        <v>4</v>
      </c>
      <c r="H492" s="24">
        <v>0</v>
      </c>
      <c r="I492" s="53"/>
      <c r="J492" s="57"/>
      <c r="K492" s="24">
        <v>0</v>
      </c>
      <c r="L492" s="10">
        <v>0</v>
      </c>
      <c r="M492" s="57"/>
      <c r="N492" s="57"/>
      <c r="O492" s="57"/>
      <c r="P492" s="3"/>
      <c r="Q492" s="3"/>
      <c r="R492" s="58" t="s">
        <v>723</v>
      </c>
      <c r="S492" s="10" t="s">
        <v>725</v>
      </c>
      <c r="T492" s="3"/>
      <c r="U492" s="3"/>
      <c r="V492" s="61" t="s">
        <v>714</v>
      </c>
    </row>
    <row r="493" s="2" customFormat="1" ht="15.75" spans="2:22">
      <c r="B493" s="56">
        <v>87</v>
      </c>
      <c r="C493" s="2">
        <v>492</v>
      </c>
      <c r="D493" s="10" t="s">
        <v>712</v>
      </c>
      <c r="E493" s="10">
        <v>92</v>
      </c>
      <c r="F493" s="10">
        <v>230</v>
      </c>
      <c r="G493" s="52">
        <v>2.8</v>
      </c>
      <c r="H493" s="24">
        <v>0</v>
      </c>
      <c r="I493" s="53"/>
      <c r="J493" s="57"/>
      <c r="K493" s="24">
        <v>0</v>
      </c>
      <c r="L493" s="10">
        <v>0</v>
      </c>
      <c r="M493" s="57"/>
      <c r="N493" s="57"/>
      <c r="O493" s="57"/>
      <c r="P493" s="3"/>
      <c r="Q493" s="3"/>
      <c r="R493" s="58" t="s">
        <v>723</v>
      </c>
      <c r="S493" s="10" t="s">
        <v>726</v>
      </c>
      <c r="T493" s="3"/>
      <c r="U493" s="3"/>
      <c r="V493" s="61" t="s">
        <v>714</v>
      </c>
    </row>
    <row r="494" s="2" customFormat="1" ht="15.75" spans="2:22">
      <c r="B494" s="56">
        <v>88</v>
      </c>
      <c r="C494" s="2">
        <v>493</v>
      </c>
      <c r="D494" s="10" t="s">
        <v>712</v>
      </c>
      <c r="E494" s="10">
        <v>82</v>
      </c>
      <c r="F494" s="10">
        <v>220</v>
      </c>
      <c r="G494" s="52">
        <v>4.6</v>
      </c>
      <c r="H494" s="24">
        <v>0</v>
      </c>
      <c r="I494" s="53"/>
      <c r="J494" s="57"/>
      <c r="K494" s="24">
        <v>0</v>
      </c>
      <c r="L494" s="10">
        <v>0</v>
      </c>
      <c r="M494" s="57"/>
      <c r="N494" s="57"/>
      <c r="O494" s="57"/>
      <c r="P494" s="3"/>
      <c r="Q494" s="3"/>
      <c r="R494" s="58" t="s">
        <v>723</v>
      </c>
      <c r="S494" s="10" t="s">
        <v>727</v>
      </c>
      <c r="T494" s="3"/>
      <c r="U494" s="3"/>
      <c r="V494" s="61" t="s">
        <v>714</v>
      </c>
    </row>
    <row r="495" s="2" customFormat="1" ht="15.75" spans="2:22">
      <c r="B495" s="56">
        <v>89</v>
      </c>
      <c r="C495" s="2">
        <v>494</v>
      </c>
      <c r="D495" s="10" t="s">
        <v>712</v>
      </c>
      <c r="E495" s="10">
        <v>76</v>
      </c>
      <c r="F495" s="10">
        <v>200</v>
      </c>
      <c r="G495" s="52">
        <v>6.1</v>
      </c>
      <c r="H495" s="24">
        <v>0</v>
      </c>
      <c r="I495" s="53"/>
      <c r="J495" s="57"/>
      <c r="K495" s="24">
        <v>0</v>
      </c>
      <c r="L495" s="10">
        <v>0</v>
      </c>
      <c r="M495" s="57"/>
      <c r="N495" s="57"/>
      <c r="O495" s="57"/>
      <c r="P495" s="3"/>
      <c r="Q495" s="3"/>
      <c r="R495" s="58" t="s">
        <v>723</v>
      </c>
      <c r="S495" s="10" t="s">
        <v>728</v>
      </c>
      <c r="T495" s="3"/>
      <c r="U495" s="3"/>
      <c r="V495" s="61" t="s">
        <v>714</v>
      </c>
    </row>
    <row r="496" s="2" customFormat="1" ht="15.75" spans="2:22">
      <c r="B496" s="56">
        <v>90</v>
      </c>
      <c r="C496" s="2">
        <v>495</v>
      </c>
      <c r="D496" s="10" t="s">
        <v>729</v>
      </c>
      <c r="E496" s="10">
        <v>257</v>
      </c>
      <c r="F496" s="10">
        <v>289</v>
      </c>
      <c r="G496" s="52">
        <v>10.3</v>
      </c>
      <c r="H496" s="24">
        <v>0</v>
      </c>
      <c r="I496" s="53"/>
      <c r="J496" s="57"/>
      <c r="K496" s="24">
        <v>0</v>
      </c>
      <c r="L496" s="10">
        <v>0</v>
      </c>
      <c r="M496" s="57"/>
      <c r="N496" s="57"/>
      <c r="O496" s="57"/>
      <c r="P496" s="3"/>
      <c r="Q496" s="3"/>
      <c r="R496" s="58" t="s">
        <v>63</v>
      </c>
      <c r="S496" s="10" t="s">
        <v>730</v>
      </c>
      <c r="T496" s="3"/>
      <c r="U496" s="3"/>
      <c r="V496" s="68" t="s">
        <v>731</v>
      </c>
    </row>
    <row r="497" s="2" customFormat="1" ht="15.75" spans="2:22">
      <c r="B497" s="56">
        <v>91</v>
      </c>
      <c r="C497" s="2">
        <v>496</v>
      </c>
      <c r="D497" s="10" t="s">
        <v>729</v>
      </c>
      <c r="E497" s="10">
        <v>285</v>
      </c>
      <c r="F497" s="10">
        <v>321</v>
      </c>
      <c r="G497" s="52">
        <v>3.1</v>
      </c>
      <c r="H497" s="24">
        <v>0</v>
      </c>
      <c r="I497" s="53"/>
      <c r="J497" s="57"/>
      <c r="K497" s="24">
        <v>0</v>
      </c>
      <c r="L497" s="10">
        <v>0</v>
      </c>
      <c r="M497" s="57"/>
      <c r="N497" s="57"/>
      <c r="O497" s="57"/>
      <c r="P497" s="3"/>
      <c r="Q497" s="3"/>
      <c r="R497" s="58" t="s">
        <v>63</v>
      </c>
      <c r="S497" s="10" t="s">
        <v>730</v>
      </c>
      <c r="T497" s="3"/>
      <c r="U497" s="3"/>
      <c r="V497" s="68" t="s">
        <v>731</v>
      </c>
    </row>
    <row r="498" s="2" customFormat="1" ht="15.75" spans="2:22">
      <c r="B498" s="56">
        <v>92</v>
      </c>
      <c r="C498" s="2">
        <v>497</v>
      </c>
      <c r="D498" s="10" t="s">
        <v>729</v>
      </c>
      <c r="E498" s="10">
        <v>210</v>
      </c>
      <c r="F498" s="10">
        <v>260</v>
      </c>
      <c r="G498" s="52">
        <v>20</v>
      </c>
      <c r="H498" s="24">
        <v>0</v>
      </c>
      <c r="I498" s="53"/>
      <c r="J498" s="57"/>
      <c r="K498" s="24">
        <v>0</v>
      </c>
      <c r="L498" s="10">
        <v>0</v>
      </c>
      <c r="M498" s="57"/>
      <c r="N498" s="57"/>
      <c r="O498" s="57"/>
      <c r="P498" s="3"/>
      <c r="Q498" s="3"/>
      <c r="R498" s="58" t="s">
        <v>702</v>
      </c>
      <c r="S498" s="10"/>
      <c r="T498" s="3"/>
      <c r="U498" s="3"/>
      <c r="V498" s="61" t="s">
        <v>732</v>
      </c>
    </row>
    <row r="499" s="2" customFormat="1" ht="15.75" spans="2:22">
      <c r="B499" s="56">
        <v>93</v>
      </c>
      <c r="C499" s="2">
        <v>498</v>
      </c>
      <c r="D499" s="10" t="s">
        <v>733</v>
      </c>
      <c r="E499" s="10">
        <v>300</v>
      </c>
      <c r="F499" s="10">
        <v>310</v>
      </c>
      <c r="G499" s="52">
        <v>0.93</v>
      </c>
      <c r="H499" s="24">
        <v>0</v>
      </c>
      <c r="I499" s="53"/>
      <c r="J499" s="57"/>
      <c r="K499" s="24">
        <v>0</v>
      </c>
      <c r="L499" s="10">
        <v>0</v>
      </c>
      <c r="M499" s="57"/>
      <c r="N499" s="57"/>
      <c r="O499" s="57"/>
      <c r="P499" s="3"/>
      <c r="Q499" s="3"/>
      <c r="R499" s="58" t="s">
        <v>702</v>
      </c>
      <c r="S499" s="10"/>
      <c r="T499" s="3"/>
      <c r="U499" s="3"/>
      <c r="V499" s="61" t="s">
        <v>732</v>
      </c>
    </row>
    <row r="500" s="2" customFormat="1" ht="15.75" spans="2:22">
      <c r="B500" s="56">
        <v>94</v>
      </c>
      <c r="C500" s="2">
        <v>499</v>
      </c>
      <c r="D500" s="10" t="s">
        <v>733</v>
      </c>
      <c r="E500" s="10">
        <v>382</v>
      </c>
      <c r="F500" s="10">
        <v>400</v>
      </c>
      <c r="G500" s="52">
        <v>0.6</v>
      </c>
      <c r="H500" s="24">
        <v>0</v>
      </c>
      <c r="I500" s="53"/>
      <c r="J500" s="57"/>
      <c r="K500" s="24">
        <v>0</v>
      </c>
      <c r="L500" s="10">
        <v>0</v>
      </c>
      <c r="M500" s="57"/>
      <c r="N500" s="57"/>
      <c r="O500" s="57"/>
      <c r="P500" s="3"/>
      <c r="Q500" s="3"/>
      <c r="R500" s="58" t="s">
        <v>702</v>
      </c>
      <c r="S500" s="10"/>
      <c r="T500" s="3"/>
      <c r="U500" s="3"/>
      <c r="V500" s="61" t="s">
        <v>732</v>
      </c>
    </row>
    <row r="501" s="2" customFormat="1" ht="15.75" spans="2:22">
      <c r="B501" s="56">
        <v>95</v>
      </c>
      <c r="C501" s="2">
        <v>500</v>
      </c>
      <c r="D501" s="10" t="s">
        <v>733</v>
      </c>
      <c r="E501" s="10">
        <v>295</v>
      </c>
      <c r="F501" s="10">
        <v>310</v>
      </c>
      <c r="G501" s="52">
        <v>1.26</v>
      </c>
      <c r="H501" s="24">
        <v>0</v>
      </c>
      <c r="I501" s="53"/>
      <c r="J501" s="57"/>
      <c r="K501" s="24">
        <v>0</v>
      </c>
      <c r="L501" s="10">
        <v>0</v>
      </c>
      <c r="M501" s="57"/>
      <c r="N501" s="57"/>
      <c r="O501" s="57"/>
      <c r="P501" s="3"/>
      <c r="Q501" s="3"/>
      <c r="R501" s="58" t="s">
        <v>702</v>
      </c>
      <c r="S501" s="10"/>
      <c r="T501" s="3"/>
      <c r="U501" s="3"/>
      <c r="V501" s="61" t="s">
        <v>732</v>
      </c>
    </row>
    <row r="502" s="2" customFormat="1" ht="15.75" spans="2:22">
      <c r="B502" s="56">
        <v>96</v>
      </c>
      <c r="C502" s="2">
        <v>501</v>
      </c>
      <c r="D502" s="10" t="s">
        <v>733</v>
      </c>
      <c r="E502" s="10">
        <v>353</v>
      </c>
      <c r="F502" s="10">
        <v>355</v>
      </c>
      <c r="G502" s="52">
        <v>0.72</v>
      </c>
      <c r="H502" s="24">
        <v>0</v>
      </c>
      <c r="I502" s="53"/>
      <c r="J502" s="57"/>
      <c r="K502" s="24">
        <v>0</v>
      </c>
      <c r="L502" s="10">
        <v>0</v>
      </c>
      <c r="M502" s="57"/>
      <c r="N502" s="57"/>
      <c r="O502" s="57"/>
      <c r="P502" s="3"/>
      <c r="Q502" s="3"/>
      <c r="R502" s="58" t="s">
        <v>702</v>
      </c>
      <c r="S502" s="10"/>
      <c r="T502" s="3"/>
      <c r="U502" s="3"/>
      <c r="V502" s="61" t="s">
        <v>732</v>
      </c>
    </row>
    <row r="503" s="2" customFormat="1" ht="15.75" spans="2:22">
      <c r="B503" s="56">
        <v>97</v>
      </c>
      <c r="C503" s="2">
        <v>502</v>
      </c>
      <c r="D503" s="10" t="s">
        <v>733</v>
      </c>
      <c r="E503" s="10">
        <v>350</v>
      </c>
      <c r="F503" s="10">
        <v>355</v>
      </c>
      <c r="G503" s="52">
        <v>0.72</v>
      </c>
      <c r="H503" s="24">
        <v>0</v>
      </c>
      <c r="I503" s="53"/>
      <c r="J503" s="57"/>
      <c r="K503" s="24">
        <v>0</v>
      </c>
      <c r="L503" s="10">
        <v>0</v>
      </c>
      <c r="M503" s="57"/>
      <c r="N503" s="57"/>
      <c r="O503" s="57"/>
      <c r="P503" s="3"/>
      <c r="Q503" s="3"/>
      <c r="R503" s="58" t="s">
        <v>702</v>
      </c>
      <c r="S503" s="10"/>
      <c r="T503" s="3"/>
      <c r="U503" s="3"/>
      <c r="V503" s="61" t="s">
        <v>732</v>
      </c>
    </row>
    <row r="504" s="2" customFormat="1" ht="15.75" spans="2:22">
      <c r="B504" s="56">
        <v>98</v>
      </c>
      <c r="C504" s="2">
        <v>503</v>
      </c>
      <c r="D504" s="10" t="s">
        <v>733</v>
      </c>
      <c r="E504" s="10">
        <v>298</v>
      </c>
      <c r="F504" s="10">
        <v>305</v>
      </c>
      <c r="G504" s="52">
        <v>0.72</v>
      </c>
      <c r="H504" s="24">
        <v>0</v>
      </c>
      <c r="I504" s="53"/>
      <c r="J504" s="57"/>
      <c r="K504" s="24">
        <v>0</v>
      </c>
      <c r="L504" s="10">
        <v>0</v>
      </c>
      <c r="M504" s="57"/>
      <c r="N504" s="57"/>
      <c r="O504" s="57"/>
      <c r="P504" s="3"/>
      <c r="Q504" s="3"/>
      <c r="R504" s="58" t="s">
        <v>702</v>
      </c>
      <c r="S504" s="10"/>
      <c r="T504" s="3"/>
      <c r="U504" s="3"/>
      <c r="V504" s="61" t="s">
        <v>732</v>
      </c>
    </row>
    <row r="505" s="2" customFormat="1" ht="15.75" spans="2:22">
      <c r="B505" s="56">
        <v>99</v>
      </c>
      <c r="C505" s="2">
        <v>504</v>
      </c>
      <c r="D505" s="10" t="s">
        <v>734</v>
      </c>
      <c r="E505" s="10">
        <v>237</v>
      </c>
      <c r="F505" s="10">
        <v>297</v>
      </c>
      <c r="G505" s="52">
        <v>20</v>
      </c>
      <c r="H505" s="24">
        <v>0</v>
      </c>
      <c r="I505" s="53"/>
      <c r="J505" s="57"/>
      <c r="K505" s="24">
        <v>0</v>
      </c>
      <c r="L505" s="10">
        <v>0</v>
      </c>
      <c r="M505" s="57"/>
      <c r="N505" s="57"/>
      <c r="O505" s="57"/>
      <c r="P505" s="3"/>
      <c r="Q505" s="3"/>
      <c r="R505" s="58" t="s">
        <v>702</v>
      </c>
      <c r="S505" s="10" t="s">
        <v>735</v>
      </c>
      <c r="T505" s="3"/>
      <c r="U505" s="3"/>
      <c r="V505" s="60" t="s">
        <v>736</v>
      </c>
    </row>
    <row r="506" s="2" customFormat="1" ht="15.75" spans="2:22">
      <c r="B506" s="56">
        <v>100</v>
      </c>
      <c r="C506" s="2">
        <v>505</v>
      </c>
      <c r="D506" s="10" t="s">
        <v>734</v>
      </c>
      <c r="E506" s="10">
        <v>254</v>
      </c>
      <c r="F506" s="10">
        <v>328</v>
      </c>
      <c r="G506" s="52">
        <v>20</v>
      </c>
      <c r="H506" s="24">
        <v>0</v>
      </c>
      <c r="I506" s="53"/>
      <c r="J506" s="57"/>
      <c r="K506" s="24">
        <v>0</v>
      </c>
      <c r="L506" s="10">
        <v>0</v>
      </c>
      <c r="M506" s="57"/>
      <c r="N506" s="57"/>
      <c r="O506" s="57"/>
      <c r="P506" s="3"/>
      <c r="Q506" s="3"/>
      <c r="R506" s="58" t="s">
        <v>702</v>
      </c>
      <c r="S506" s="10" t="s">
        <v>737</v>
      </c>
      <c r="T506" s="3"/>
      <c r="U506" s="3"/>
      <c r="V506" s="60" t="s">
        <v>736</v>
      </c>
    </row>
    <row r="507" s="2" customFormat="1" ht="15.75" spans="2:22">
      <c r="B507" s="56">
        <v>101</v>
      </c>
      <c r="C507" s="2">
        <v>506</v>
      </c>
      <c r="D507" s="10" t="s">
        <v>734</v>
      </c>
      <c r="E507" s="10">
        <v>227</v>
      </c>
      <c r="F507" s="10">
        <v>294</v>
      </c>
      <c r="G507" s="52">
        <v>20.6</v>
      </c>
      <c r="H507" s="24">
        <v>0</v>
      </c>
      <c r="I507" s="53"/>
      <c r="J507" s="57"/>
      <c r="K507" s="24">
        <v>0</v>
      </c>
      <c r="L507" s="10">
        <v>0</v>
      </c>
      <c r="M507" s="57"/>
      <c r="N507" s="57"/>
      <c r="O507" s="57"/>
      <c r="P507" s="3"/>
      <c r="Q507" s="3"/>
      <c r="R507" s="58" t="s">
        <v>702</v>
      </c>
      <c r="S507" s="10" t="s">
        <v>735</v>
      </c>
      <c r="T507" s="3"/>
      <c r="U507" s="3"/>
      <c r="V507" s="60" t="s">
        <v>736</v>
      </c>
    </row>
    <row r="508" s="2" customFormat="1" ht="15.75" spans="2:22">
      <c r="B508" s="56">
        <v>102</v>
      </c>
      <c r="C508" s="2">
        <v>507</v>
      </c>
      <c r="D508" s="10" t="s">
        <v>734</v>
      </c>
      <c r="E508" s="10">
        <v>240</v>
      </c>
      <c r="F508" s="10">
        <v>310</v>
      </c>
      <c r="G508" s="52">
        <v>20.6</v>
      </c>
      <c r="H508" s="24">
        <v>0</v>
      </c>
      <c r="I508" s="53"/>
      <c r="J508" s="57"/>
      <c r="K508" s="24">
        <v>0</v>
      </c>
      <c r="L508" s="10">
        <v>0</v>
      </c>
      <c r="M508" s="57"/>
      <c r="N508" s="57"/>
      <c r="O508" s="57"/>
      <c r="P508" s="3"/>
      <c r="Q508" s="3"/>
      <c r="R508" s="58" t="s">
        <v>702</v>
      </c>
      <c r="S508" s="10" t="s">
        <v>737</v>
      </c>
      <c r="T508" s="3"/>
      <c r="U508" s="3"/>
      <c r="V508" s="60" t="s">
        <v>736</v>
      </c>
    </row>
    <row r="509" s="2" customFormat="1" ht="15.75" spans="2:22">
      <c r="B509" s="56">
        <v>103</v>
      </c>
      <c r="C509" s="2">
        <v>508</v>
      </c>
      <c r="D509" s="10" t="s">
        <v>734</v>
      </c>
      <c r="E509" s="10">
        <v>254</v>
      </c>
      <c r="F509" s="10">
        <v>320</v>
      </c>
      <c r="G509" s="52">
        <v>20.6</v>
      </c>
      <c r="H509" s="24">
        <v>0</v>
      </c>
      <c r="I509" s="53"/>
      <c r="J509" s="57"/>
      <c r="K509" s="24">
        <v>0</v>
      </c>
      <c r="L509" s="10">
        <v>0</v>
      </c>
      <c r="M509" s="57"/>
      <c r="N509" s="57"/>
      <c r="O509" s="57"/>
      <c r="P509" s="3"/>
      <c r="Q509" s="3"/>
      <c r="R509" s="58" t="s">
        <v>702</v>
      </c>
      <c r="S509" s="10" t="s">
        <v>738</v>
      </c>
      <c r="T509" s="3"/>
      <c r="U509" s="3"/>
      <c r="V509" s="60" t="s">
        <v>736</v>
      </c>
    </row>
    <row r="510" s="2" customFormat="1" ht="15.75" spans="2:22">
      <c r="B510" s="56">
        <v>104</v>
      </c>
      <c r="C510" s="2">
        <v>509</v>
      </c>
      <c r="D510" s="10" t="s">
        <v>734</v>
      </c>
      <c r="E510" s="10">
        <v>208</v>
      </c>
      <c r="F510" s="10">
        <v>287</v>
      </c>
      <c r="G510" s="52">
        <v>19.7</v>
      </c>
      <c r="H510" s="24">
        <v>0</v>
      </c>
      <c r="I510" s="53"/>
      <c r="J510" s="57"/>
      <c r="K510" s="24">
        <v>0</v>
      </c>
      <c r="L510" s="10">
        <v>0</v>
      </c>
      <c r="M510" s="57"/>
      <c r="N510" s="57"/>
      <c r="O510" s="57"/>
      <c r="P510" s="3"/>
      <c r="Q510" s="3"/>
      <c r="R510" s="58" t="s">
        <v>702</v>
      </c>
      <c r="S510" s="10" t="s">
        <v>735</v>
      </c>
      <c r="T510" s="3"/>
      <c r="U510" s="3"/>
      <c r="V510" s="60" t="s">
        <v>736</v>
      </c>
    </row>
    <row r="511" s="2" customFormat="1" ht="15.75" spans="2:22">
      <c r="B511" s="56">
        <v>105</v>
      </c>
      <c r="C511" s="2">
        <v>510</v>
      </c>
      <c r="D511" s="10" t="s">
        <v>734</v>
      </c>
      <c r="E511" s="10">
        <v>213</v>
      </c>
      <c r="F511" s="10">
        <v>307</v>
      </c>
      <c r="G511" s="52">
        <v>19.7</v>
      </c>
      <c r="H511" s="24">
        <v>0</v>
      </c>
      <c r="I511" s="53"/>
      <c r="J511" s="57"/>
      <c r="K511" s="24">
        <v>0</v>
      </c>
      <c r="L511" s="10">
        <v>0</v>
      </c>
      <c r="M511" s="57"/>
      <c r="N511" s="57"/>
      <c r="O511" s="57"/>
      <c r="P511" s="3"/>
      <c r="Q511" s="3"/>
      <c r="R511" s="58" t="s">
        <v>702</v>
      </c>
      <c r="S511" s="10" t="s">
        <v>737</v>
      </c>
      <c r="T511" s="3"/>
      <c r="U511" s="3"/>
      <c r="V511" s="60" t="s">
        <v>736</v>
      </c>
    </row>
    <row r="512" s="2" customFormat="1" ht="15.75" spans="2:22">
      <c r="B512" s="56">
        <v>106</v>
      </c>
      <c r="C512" s="2">
        <v>511</v>
      </c>
      <c r="D512" s="10" t="s">
        <v>734</v>
      </c>
      <c r="E512" s="10">
        <v>242</v>
      </c>
      <c r="F512" s="10">
        <v>316</v>
      </c>
      <c r="G512" s="52">
        <v>19.7</v>
      </c>
      <c r="H512" s="24">
        <v>0</v>
      </c>
      <c r="I512" s="53"/>
      <c r="J512" s="57"/>
      <c r="K512" s="24">
        <v>0</v>
      </c>
      <c r="L512" s="10">
        <v>0</v>
      </c>
      <c r="M512" s="57"/>
      <c r="N512" s="57"/>
      <c r="O512" s="57"/>
      <c r="P512" s="3"/>
      <c r="Q512" s="3"/>
      <c r="R512" s="58" t="s">
        <v>702</v>
      </c>
      <c r="S512" s="10" t="s">
        <v>738</v>
      </c>
      <c r="T512" s="3"/>
      <c r="U512" s="3"/>
      <c r="V512" s="60" t="s">
        <v>736</v>
      </c>
    </row>
    <row r="513" s="2" customFormat="1" ht="15.75" spans="2:22">
      <c r="B513" s="56">
        <v>107</v>
      </c>
      <c r="C513" s="2">
        <v>512</v>
      </c>
      <c r="D513" s="10" t="s">
        <v>739</v>
      </c>
      <c r="E513" s="10">
        <v>161</v>
      </c>
      <c r="F513" s="10">
        <v>272</v>
      </c>
      <c r="G513" s="52">
        <v>10</v>
      </c>
      <c r="H513" s="24">
        <v>0</v>
      </c>
      <c r="I513" s="53"/>
      <c r="J513" s="57"/>
      <c r="K513" s="24">
        <v>0</v>
      </c>
      <c r="L513" s="10">
        <v>0</v>
      </c>
      <c r="M513" s="57"/>
      <c r="N513" s="57"/>
      <c r="O513" s="57"/>
      <c r="P513" s="3"/>
      <c r="Q513" s="3"/>
      <c r="R513" s="58" t="s">
        <v>702</v>
      </c>
      <c r="S513" s="10" t="s">
        <v>740</v>
      </c>
      <c r="T513" s="3"/>
      <c r="U513" s="3"/>
      <c r="V513" s="60" t="s">
        <v>741</v>
      </c>
    </row>
    <row r="514" s="2" customFormat="1" ht="15.75" spans="2:22">
      <c r="B514" s="56">
        <v>108</v>
      </c>
      <c r="C514" s="2">
        <v>513</v>
      </c>
      <c r="D514" s="10" t="s">
        <v>739</v>
      </c>
      <c r="E514" s="10">
        <v>176</v>
      </c>
      <c r="F514" s="10">
        <v>280</v>
      </c>
      <c r="G514" s="52">
        <v>10</v>
      </c>
      <c r="H514" s="24">
        <v>0</v>
      </c>
      <c r="I514" s="53"/>
      <c r="J514" s="57"/>
      <c r="K514" s="24">
        <v>0</v>
      </c>
      <c r="L514" s="10">
        <v>0</v>
      </c>
      <c r="M514" s="57"/>
      <c r="N514" s="57"/>
      <c r="O514" s="57"/>
      <c r="P514" s="3"/>
      <c r="Q514" s="3"/>
      <c r="R514" s="58" t="s">
        <v>702</v>
      </c>
      <c r="S514" s="10">
        <v>45</v>
      </c>
      <c r="T514" s="3"/>
      <c r="U514" s="3"/>
      <c r="V514" s="60" t="s">
        <v>741</v>
      </c>
    </row>
    <row r="515" s="2" customFormat="1" ht="15.75" spans="2:22">
      <c r="B515" s="56">
        <v>109</v>
      </c>
      <c r="C515" s="2">
        <v>514</v>
      </c>
      <c r="D515" s="10" t="s">
        <v>739</v>
      </c>
      <c r="E515" s="10">
        <v>182</v>
      </c>
      <c r="F515" s="10">
        <v>283</v>
      </c>
      <c r="G515" s="52">
        <v>10</v>
      </c>
      <c r="H515" s="24">
        <v>0</v>
      </c>
      <c r="I515" s="53"/>
      <c r="J515" s="57"/>
      <c r="K515" s="24">
        <v>0</v>
      </c>
      <c r="L515" s="10">
        <v>0</v>
      </c>
      <c r="M515" s="57"/>
      <c r="N515" s="57"/>
      <c r="O515" s="57"/>
      <c r="P515" s="3"/>
      <c r="Q515" s="3"/>
      <c r="R515" s="58" t="s">
        <v>702</v>
      </c>
      <c r="S515" s="10" t="s">
        <v>742</v>
      </c>
      <c r="T515" s="3"/>
      <c r="U515" s="3"/>
      <c r="V515" s="60" t="s">
        <v>741</v>
      </c>
    </row>
    <row r="516" s="2" customFormat="1" ht="15.75" spans="2:22">
      <c r="B516" s="56">
        <v>110</v>
      </c>
      <c r="C516" s="2">
        <v>515</v>
      </c>
      <c r="D516" s="10" t="s">
        <v>739</v>
      </c>
      <c r="E516" s="10">
        <v>158</v>
      </c>
      <c r="F516" s="10">
        <v>267</v>
      </c>
      <c r="G516" s="52">
        <v>16</v>
      </c>
      <c r="H516" s="24">
        <v>0</v>
      </c>
      <c r="I516" s="53"/>
      <c r="J516" s="57"/>
      <c r="K516" s="24">
        <v>0</v>
      </c>
      <c r="L516" s="10">
        <v>0</v>
      </c>
      <c r="M516" s="57"/>
      <c r="N516" s="57"/>
      <c r="O516" s="57"/>
      <c r="P516" s="3"/>
      <c r="Q516" s="3"/>
      <c r="R516" s="58" t="s">
        <v>702</v>
      </c>
      <c r="S516" s="10" t="s">
        <v>740</v>
      </c>
      <c r="T516" s="3"/>
      <c r="U516" s="3"/>
      <c r="V516" s="60" t="s">
        <v>741</v>
      </c>
    </row>
    <row r="517" s="2" customFormat="1" ht="15.75" spans="2:22">
      <c r="B517" s="56">
        <v>111</v>
      </c>
      <c r="C517" s="2">
        <v>516</v>
      </c>
      <c r="D517" s="10" t="s">
        <v>739</v>
      </c>
      <c r="E517" s="10">
        <v>159</v>
      </c>
      <c r="F517" s="10">
        <v>263</v>
      </c>
      <c r="G517" s="52">
        <v>16</v>
      </c>
      <c r="H517" s="24">
        <v>0</v>
      </c>
      <c r="I517" s="53"/>
      <c r="J517" s="57"/>
      <c r="K517" s="24">
        <v>0</v>
      </c>
      <c r="L517" s="10">
        <v>0</v>
      </c>
      <c r="M517" s="57"/>
      <c r="N517" s="57"/>
      <c r="O517" s="57"/>
      <c r="P517" s="3"/>
      <c r="Q517" s="3"/>
      <c r="R517" s="58" t="s">
        <v>702</v>
      </c>
      <c r="S517" s="10">
        <v>45</v>
      </c>
      <c r="T517" s="3"/>
      <c r="U517" s="3"/>
      <c r="V517" s="60" t="s">
        <v>741</v>
      </c>
    </row>
    <row r="518" s="2" customFormat="1" ht="15.75" spans="2:22">
      <c r="B518" s="56">
        <v>112</v>
      </c>
      <c r="C518" s="2">
        <v>517</v>
      </c>
      <c r="D518" s="10" t="s">
        <v>739</v>
      </c>
      <c r="E518" s="10">
        <v>161</v>
      </c>
      <c r="F518" s="10">
        <v>265</v>
      </c>
      <c r="G518" s="52">
        <v>16</v>
      </c>
      <c r="H518" s="24">
        <v>0</v>
      </c>
      <c r="I518" s="53"/>
      <c r="J518" s="57"/>
      <c r="K518" s="24">
        <v>0</v>
      </c>
      <c r="L518" s="10">
        <v>0</v>
      </c>
      <c r="M518" s="57"/>
      <c r="N518" s="57"/>
      <c r="O518" s="57"/>
      <c r="P518" s="3"/>
      <c r="Q518" s="3"/>
      <c r="R518" s="58" t="s">
        <v>702</v>
      </c>
      <c r="S518" s="10" t="s">
        <v>742</v>
      </c>
      <c r="T518" s="3"/>
      <c r="U518" s="3"/>
      <c r="V518" s="60" t="s">
        <v>741</v>
      </c>
    </row>
    <row r="519" s="2" customFormat="1" ht="15.75" spans="2:22">
      <c r="B519" s="56">
        <v>113</v>
      </c>
      <c r="C519" s="2">
        <v>518</v>
      </c>
      <c r="D519" s="10" t="s">
        <v>739</v>
      </c>
      <c r="E519" s="10">
        <v>122</v>
      </c>
      <c r="F519" s="10">
        <v>255</v>
      </c>
      <c r="G519" s="52">
        <v>26</v>
      </c>
      <c r="H519" s="24">
        <v>0</v>
      </c>
      <c r="I519" s="53"/>
      <c r="J519" s="57"/>
      <c r="K519" s="24">
        <v>0</v>
      </c>
      <c r="L519" s="10">
        <v>0</v>
      </c>
      <c r="M519" s="57"/>
      <c r="N519" s="57"/>
      <c r="O519" s="57"/>
      <c r="P519" s="3"/>
      <c r="Q519" s="3"/>
      <c r="R519" s="58" t="s">
        <v>702</v>
      </c>
      <c r="S519" s="10" t="s">
        <v>740</v>
      </c>
      <c r="T519" s="3"/>
      <c r="U519" s="3"/>
      <c r="V519" s="60" t="s">
        <v>741</v>
      </c>
    </row>
    <row r="520" s="2" customFormat="1" ht="15.75" spans="2:22">
      <c r="B520" s="56">
        <v>114</v>
      </c>
      <c r="C520" s="2">
        <v>519</v>
      </c>
      <c r="D520" s="10" t="s">
        <v>739</v>
      </c>
      <c r="E520" s="10">
        <v>158</v>
      </c>
      <c r="F520" s="10">
        <v>268</v>
      </c>
      <c r="G520" s="52">
        <v>26</v>
      </c>
      <c r="H520" s="24">
        <v>0</v>
      </c>
      <c r="I520" s="53"/>
      <c r="J520" s="57"/>
      <c r="K520" s="24">
        <v>0</v>
      </c>
      <c r="L520" s="10">
        <v>0</v>
      </c>
      <c r="M520" s="57"/>
      <c r="N520" s="57"/>
      <c r="O520" s="57"/>
      <c r="P520" s="3"/>
      <c r="Q520" s="3"/>
      <c r="R520" s="58" t="s">
        <v>702</v>
      </c>
      <c r="S520" s="10">
        <v>45</v>
      </c>
      <c r="T520" s="3"/>
      <c r="U520" s="3"/>
      <c r="V520" s="60" t="s">
        <v>741</v>
      </c>
    </row>
    <row r="521" s="2" customFormat="1" ht="15.75" spans="2:22">
      <c r="B521" s="56">
        <v>115</v>
      </c>
      <c r="C521" s="2">
        <v>520</v>
      </c>
      <c r="D521" s="10" t="s">
        <v>739</v>
      </c>
      <c r="E521" s="10">
        <v>161</v>
      </c>
      <c r="F521" s="10">
        <v>268</v>
      </c>
      <c r="G521" s="52">
        <v>26</v>
      </c>
      <c r="H521" s="24">
        <v>0</v>
      </c>
      <c r="I521" s="53"/>
      <c r="J521" s="57"/>
      <c r="K521" s="24">
        <v>0</v>
      </c>
      <c r="L521" s="10">
        <v>0</v>
      </c>
      <c r="M521" s="57"/>
      <c r="N521" s="57"/>
      <c r="O521" s="57"/>
      <c r="P521" s="3"/>
      <c r="Q521" s="3"/>
      <c r="R521" s="58" t="s">
        <v>702</v>
      </c>
      <c r="S521" s="10" t="s">
        <v>742</v>
      </c>
      <c r="T521" s="3"/>
      <c r="U521" s="3"/>
      <c r="V521" s="60" t="s">
        <v>741</v>
      </c>
    </row>
    <row r="522" s="2" customFormat="1" ht="15.75" spans="2:22">
      <c r="B522" s="56">
        <v>116</v>
      </c>
      <c r="C522" s="2">
        <v>521</v>
      </c>
      <c r="D522" s="10" t="s">
        <v>649</v>
      </c>
      <c r="E522" s="10">
        <v>254</v>
      </c>
      <c r="F522" s="10">
        <v>290</v>
      </c>
      <c r="G522" s="52">
        <v>10</v>
      </c>
      <c r="H522" s="24">
        <v>0</v>
      </c>
      <c r="I522" s="53"/>
      <c r="J522" s="57"/>
      <c r="K522" s="24">
        <v>0</v>
      </c>
      <c r="L522" s="10">
        <v>0</v>
      </c>
      <c r="M522" s="57"/>
      <c r="N522" s="57"/>
      <c r="O522" s="57"/>
      <c r="P522" s="3"/>
      <c r="Q522" s="3"/>
      <c r="R522" s="58" t="s">
        <v>702</v>
      </c>
      <c r="S522" s="10" t="s">
        <v>743</v>
      </c>
      <c r="T522" s="3"/>
      <c r="U522" s="3"/>
      <c r="V522" s="60" t="s">
        <v>741</v>
      </c>
    </row>
    <row r="523" s="2" customFormat="1" ht="15.75" spans="2:22">
      <c r="B523" s="56">
        <v>117</v>
      </c>
      <c r="C523" s="2">
        <v>522</v>
      </c>
      <c r="D523" s="10" t="s">
        <v>649</v>
      </c>
      <c r="E523" s="10">
        <v>242</v>
      </c>
      <c r="F523" s="10">
        <v>295</v>
      </c>
      <c r="G523" s="52">
        <v>10</v>
      </c>
      <c r="H523" s="24">
        <v>0</v>
      </c>
      <c r="I523" s="53"/>
      <c r="J523" s="57"/>
      <c r="K523" s="24">
        <v>0</v>
      </c>
      <c r="L523" s="10">
        <v>0</v>
      </c>
      <c r="M523" s="57"/>
      <c r="N523" s="57"/>
      <c r="O523" s="57"/>
      <c r="P523" s="3"/>
      <c r="Q523" s="3"/>
      <c r="R523" s="58" t="s">
        <v>702</v>
      </c>
      <c r="S523" s="10" t="s">
        <v>743</v>
      </c>
      <c r="T523" s="3"/>
      <c r="U523" s="3"/>
      <c r="V523" s="65" t="s">
        <v>744</v>
      </c>
    </row>
    <row r="524" s="2" customFormat="1" ht="15.75" spans="2:22">
      <c r="B524" s="56">
        <v>118</v>
      </c>
      <c r="C524" s="2">
        <v>523</v>
      </c>
      <c r="D524" s="10" t="s">
        <v>649</v>
      </c>
      <c r="E524" s="10">
        <v>237</v>
      </c>
      <c r="F524" s="10">
        <v>290</v>
      </c>
      <c r="G524" s="52">
        <v>15</v>
      </c>
      <c r="H524" s="24">
        <v>0</v>
      </c>
      <c r="I524" s="53"/>
      <c r="J524" s="57"/>
      <c r="K524" s="24">
        <v>0</v>
      </c>
      <c r="L524" s="10">
        <v>0</v>
      </c>
      <c r="M524" s="57"/>
      <c r="N524" s="57"/>
      <c r="O524" s="57"/>
      <c r="P524" s="3"/>
      <c r="Q524" s="3"/>
      <c r="R524" s="58" t="s">
        <v>702</v>
      </c>
      <c r="S524" s="10" t="s">
        <v>745</v>
      </c>
      <c r="T524" s="3"/>
      <c r="U524" s="3"/>
      <c r="V524" s="65" t="s">
        <v>744</v>
      </c>
    </row>
    <row r="525" s="2" customFormat="1" ht="15.75" spans="2:22">
      <c r="B525" s="56">
        <v>119</v>
      </c>
      <c r="C525" s="2">
        <v>524</v>
      </c>
      <c r="D525" s="10" t="s">
        <v>649</v>
      </c>
      <c r="E525" s="10">
        <v>241</v>
      </c>
      <c r="F525" s="10">
        <v>289</v>
      </c>
      <c r="G525" s="52">
        <v>15</v>
      </c>
      <c r="H525" s="24">
        <v>0</v>
      </c>
      <c r="I525" s="53"/>
      <c r="J525" s="57"/>
      <c r="K525" s="24">
        <v>0</v>
      </c>
      <c r="L525" s="10">
        <v>0</v>
      </c>
      <c r="M525" s="57"/>
      <c r="N525" s="57"/>
      <c r="O525" s="57"/>
      <c r="P525" s="3"/>
      <c r="Q525" s="3"/>
      <c r="R525" s="58" t="s">
        <v>702</v>
      </c>
      <c r="S525" s="10" t="s">
        <v>745</v>
      </c>
      <c r="T525" s="3"/>
      <c r="U525" s="3"/>
      <c r="V525" s="65" t="s">
        <v>744</v>
      </c>
    </row>
    <row r="526" s="2" customFormat="1" ht="15.75" spans="2:22">
      <c r="B526" s="56">
        <v>120</v>
      </c>
      <c r="C526" s="2">
        <v>525</v>
      </c>
      <c r="D526" s="10" t="s">
        <v>649</v>
      </c>
      <c r="E526" s="10">
        <v>285</v>
      </c>
      <c r="F526" s="10">
        <v>295</v>
      </c>
      <c r="G526" s="52">
        <v>1.4</v>
      </c>
      <c r="H526" s="24">
        <v>0</v>
      </c>
      <c r="I526" s="53"/>
      <c r="J526" s="57"/>
      <c r="K526" s="24">
        <v>0</v>
      </c>
      <c r="L526" s="10">
        <v>0</v>
      </c>
      <c r="M526" s="57"/>
      <c r="N526" s="57"/>
      <c r="O526" s="57"/>
      <c r="P526" s="3"/>
      <c r="Q526" s="3"/>
      <c r="R526" s="58" t="s">
        <v>702</v>
      </c>
      <c r="S526" s="10" t="s">
        <v>746</v>
      </c>
      <c r="T526" s="3"/>
      <c r="U526" s="3"/>
      <c r="V526" s="65" t="s">
        <v>744</v>
      </c>
    </row>
    <row r="527" s="2" customFormat="1" ht="15.75" spans="2:22">
      <c r="B527" s="56">
        <v>121</v>
      </c>
      <c r="C527" s="2">
        <v>526</v>
      </c>
      <c r="D527" s="10" t="s">
        <v>649</v>
      </c>
      <c r="E527" s="10">
        <v>330</v>
      </c>
      <c r="F527" s="10">
        <v>335</v>
      </c>
      <c r="G527" s="52">
        <v>1.4</v>
      </c>
      <c r="H527" s="24">
        <v>0</v>
      </c>
      <c r="I527" s="53"/>
      <c r="J527" s="57"/>
      <c r="K527" s="24">
        <v>0</v>
      </c>
      <c r="L527" s="10">
        <v>0</v>
      </c>
      <c r="M527" s="57"/>
      <c r="N527" s="57"/>
      <c r="O527" s="57"/>
      <c r="P527" s="3"/>
      <c r="Q527" s="3"/>
      <c r="R527" s="58" t="s">
        <v>702</v>
      </c>
      <c r="S527" s="10" t="s">
        <v>747</v>
      </c>
      <c r="T527" s="3"/>
      <c r="U527" s="3"/>
      <c r="V527" s="61" t="s">
        <v>748</v>
      </c>
    </row>
    <row r="528" s="2" customFormat="1" ht="15.75" spans="2:22">
      <c r="B528" s="56">
        <v>122</v>
      </c>
      <c r="C528" s="2">
        <v>527</v>
      </c>
      <c r="D528" s="10" t="s">
        <v>649</v>
      </c>
      <c r="E528" s="10">
        <v>330</v>
      </c>
      <c r="F528" s="10">
        <v>345</v>
      </c>
      <c r="G528" s="52">
        <v>1.4</v>
      </c>
      <c r="H528" s="24">
        <v>0</v>
      </c>
      <c r="I528" s="53"/>
      <c r="J528" s="57"/>
      <c r="K528" s="24">
        <v>0</v>
      </c>
      <c r="L528" s="10">
        <v>0</v>
      </c>
      <c r="M528" s="57"/>
      <c r="N528" s="57"/>
      <c r="O528" s="57"/>
      <c r="P528" s="3"/>
      <c r="Q528" s="3"/>
      <c r="R528" s="58" t="s">
        <v>702</v>
      </c>
      <c r="S528" s="10" t="s">
        <v>749</v>
      </c>
      <c r="T528" s="3"/>
      <c r="U528" s="3"/>
      <c r="V528" s="61" t="s">
        <v>748</v>
      </c>
    </row>
    <row r="529" s="2" customFormat="1" ht="15.75" spans="2:22">
      <c r="B529" s="56">
        <v>123</v>
      </c>
      <c r="C529" s="2">
        <v>528</v>
      </c>
      <c r="D529" s="10" t="s">
        <v>649</v>
      </c>
      <c r="E529" s="10">
        <v>280</v>
      </c>
      <c r="F529" s="10">
        <v>329</v>
      </c>
      <c r="G529" s="52">
        <v>1.5</v>
      </c>
      <c r="H529" s="24">
        <v>0</v>
      </c>
      <c r="I529" s="53"/>
      <c r="J529" s="57"/>
      <c r="K529" s="24">
        <v>0</v>
      </c>
      <c r="L529" s="10">
        <v>0</v>
      </c>
      <c r="M529" s="57"/>
      <c r="N529" s="57"/>
      <c r="O529" s="57"/>
      <c r="P529" s="3"/>
      <c r="Q529" s="3"/>
      <c r="R529" s="58" t="s">
        <v>702</v>
      </c>
      <c r="S529" s="10" t="s">
        <v>750</v>
      </c>
      <c r="T529" s="3"/>
      <c r="U529" s="3"/>
      <c r="V529" s="61" t="s">
        <v>748</v>
      </c>
    </row>
    <row r="530" s="2" customFormat="1" ht="15.75" spans="2:22">
      <c r="B530" s="56">
        <v>124</v>
      </c>
      <c r="C530" s="2">
        <v>529</v>
      </c>
      <c r="D530" s="10" t="s">
        <v>649</v>
      </c>
      <c r="E530" s="10">
        <v>255</v>
      </c>
      <c r="F530" s="10">
        <v>328</v>
      </c>
      <c r="G530" s="52">
        <v>1.5</v>
      </c>
      <c r="H530" s="24">
        <v>0</v>
      </c>
      <c r="I530" s="53"/>
      <c r="J530" s="57"/>
      <c r="K530" s="24">
        <v>0</v>
      </c>
      <c r="L530" s="10">
        <v>0</v>
      </c>
      <c r="M530" s="57"/>
      <c r="N530" s="57"/>
      <c r="O530" s="57"/>
      <c r="P530" s="3"/>
      <c r="Q530" s="3"/>
      <c r="R530" s="58" t="s">
        <v>702</v>
      </c>
      <c r="S530" s="10" t="s">
        <v>751</v>
      </c>
      <c r="T530" s="3"/>
      <c r="U530" s="3"/>
      <c r="V530" s="61" t="s">
        <v>748</v>
      </c>
    </row>
    <row r="531" s="2" customFormat="1" ht="15.75" spans="2:22">
      <c r="B531" s="56">
        <v>125</v>
      </c>
      <c r="C531" s="2">
        <v>530</v>
      </c>
      <c r="D531" s="10" t="s">
        <v>649</v>
      </c>
      <c r="E531" s="10">
        <v>300</v>
      </c>
      <c r="F531" s="10">
        <v>345</v>
      </c>
      <c r="G531" s="52">
        <v>1.5</v>
      </c>
      <c r="H531" s="24">
        <v>0</v>
      </c>
      <c r="I531" s="53"/>
      <c r="J531" s="57"/>
      <c r="K531" s="24">
        <v>0</v>
      </c>
      <c r="L531" s="10">
        <v>0</v>
      </c>
      <c r="M531" s="57"/>
      <c r="N531" s="57"/>
      <c r="O531" s="57"/>
      <c r="P531" s="3"/>
      <c r="Q531" s="3"/>
      <c r="R531" s="58" t="s">
        <v>702</v>
      </c>
      <c r="S531" s="10" t="s">
        <v>750</v>
      </c>
      <c r="T531" s="3"/>
      <c r="U531" s="3"/>
      <c r="V531" s="61" t="s">
        <v>748</v>
      </c>
    </row>
    <row r="532" s="2" customFormat="1" ht="15.75" spans="2:22">
      <c r="B532" s="56">
        <v>126</v>
      </c>
      <c r="C532" s="2">
        <v>531</v>
      </c>
      <c r="D532" s="10" t="s">
        <v>649</v>
      </c>
      <c r="E532" s="10">
        <v>190</v>
      </c>
      <c r="F532" s="10">
        <v>280</v>
      </c>
      <c r="G532" s="52">
        <v>2.9</v>
      </c>
      <c r="H532" s="24">
        <v>0</v>
      </c>
      <c r="I532" s="53"/>
      <c r="J532" s="57"/>
      <c r="K532" s="24">
        <v>0</v>
      </c>
      <c r="L532" s="10">
        <v>0</v>
      </c>
      <c r="M532" s="57"/>
      <c r="N532" s="57"/>
      <c r="O532" s="57"/>
      <c r="P532" s="3"/>
      <c r="Q532" s="3"/>
      <c r="R532" s="58" t="s">
        <v>702</v>
      </c>
      <c r="S532" s="10" t="s">
        <v>752</v>
      </c>
      <c r="T532" s="3"/>
      <c r="U532" s="3"/>
      <c r="V532" s="61" t="s">
        <v>748</v>
      </c>
    </row>
    <row r="533" s="2" customFormat="1" ht="15.75" spans="2:22">
      <c r="B533" s="56">
        <v>127</v>
      </c>
      <c r="C533" s="2">
        <v>532</v>
      </c>
      <c r="D533" s="10" t="s">
        <v>649</v>
      </c>
      <c r="E533" s="10">
        <v>190</v>
      </c>
      <c r="F533" s="10">
        <v>280</v>
      </c>
      <c r="G533" s="52">
        <v>2.9</v>
      </c>
      <c r="H533" s="24">
        <v>0</v>
      </c>
      <c r="I533" s="53"/>
      <c r="J533" s="57"/>
      <c r="K533" s="24">
        <v>0</v>
      </c>
      <c r="L533" s="10">
        <v>0</v>
      </c>
      <c r="M533" s="57"/>
      <c r="N533" s="57"/>
      <c r="O533" s="57"/>
      <c r="P533" s="3"/>
      <c r="Q533" s="3"/>
      <c r="R533" s="58" t="s">
        <v>702</v>
      </c>
      <c r="S533" s="10" t="s">
        <v>753</v>
      </c>
      <c r="T533" s="3"/>
      <c r="U533" s="3"/>
      <c r="V533" s="61" t="s">
        <v>748</v>
      </c>
    </row>
    <row r="534" s="2" customFormat="1" ht="15.75" spans="2:22">
      <c r="B534" s="56">
        <v>128</v>
      </c>
      <c r="C534" s="2">
        <v>533</v>
      </c>
      <c r="D534" s="10" t="s">
        <v>649</v>
      </c>
      <c r="E534" s="10">
        <v>210</v>
      </c>
      <c r="F534" s="10">
        <v>280</v>
      </c>
      <c r="G534" s="52">
        <v>2.9</v>
      </c>
      <c r="H534" s="24">
        <v>0</v>
      </c>
      <c r="I534" s="53"/>
      <c r="J534" s="57"/>
      <c r="K534" s="24">
        <v>0</v>
      </c>
      <c r="L534" s="10">
        <v>0</v>
      </c>
      <c r="M534" s="57"/>
      <c r="N534" s="57"/>
      <c r="O534" s="57"/>
      <c r="P534" s="3"/>
      <c r="Q534" s="3"/>
      <c r="R534" s="58" t="s">
        <v>702</v>
      </c>
      <c r="S534" s="10" t="s">
        <v>754</v>
      </c>
      <c r="T534" s="3"/>
      <c r="U534" s="3"/>
      <c r="V534" s="61" t="s">
        <v>748</v>
      </c>
    </row>
    <row r="535" s="2" customFormat="1" ht="15.75" spans="2:22">
      <c r="B535" s="56">
        <v>129</v>
      </c>
      <c r="C535" s="2">
        <v>534</v>
      </c>
      <c r="D535" s="10" t="s">
        <v>649</v>
      </c>
      <c r="E535" s="10">
        <v>180</v>
      </c>
      <c r="F535" s="10">
        <v>270</v>
      </c>
      <c r="G535" s="52">
        <v>3</v>
      </c>
      <c r="H535" s="24">
        <v>0</v>
      </c>
      <c r="I535" s="53"/>
      <c r="J535" s="57"/>
      <c r="K535" s="24">
        <v>0</v>
      </c>
      <c r="L535" s="10">
        <v>0</v>
      </c>
      <c r="M535" s="57"/>
      <c r="N535" s="57"/>
      <c r="O535" s="57"/>
      <c r="P535" s="3"/>
      <c r="Q535" s="3"/>
      <c r="R535" s="58" t="s">
        <v>702</v>
      </c>
      <c r="S535" s="10" t="s">
        <v>755</v>
      </c>
      <c r="T535" s="3"/>
      <c r="U535" s="3"/>
      <c r="V535" s="61" t="s">
        <v>748</v>
      </c>
    </row>
    <row r="536" s="2" customFormat="1" ht="15.75" spans="2:22">
      <c r="B536" s="56">
        <v>130</v>
      </c>
      <c r="C536" s="2">
        <v>535</v>
      </c>
      <c r="D536" s="10" t="s">
        <v>649</v>
      </c>
      <c r="E536" s="10">
        <v>195</v>
      </c>
      <c r="F536" s="10">
        <v>265</v>
      </c>
      <c r="G536" s="52">
        <v>3</v>
      </c>
      <c r="H536" s="24">
        <v>0</v>
      </c>
      <c r="I536" s="53"/>
      <c r="J536" s="57"/>
      <c r="K536" s="24">
        <v>0</v>
      </c>
      <c r="L536" s="10">
        <v>0</v>
      </c>
      <c r="M536" s="57"/>
      <c r="N536" s="57"/>
      <c r="O536" s="57"/>
      <c r="P536" s="3"/>
      <c r="Q536" s="3"/>
      <c r="R536" s="58" t="s">
        <v>702</v>
      </c>
      <c r="S536" s="10" t="s">
        <v>756</v>
      </c>
      <c r="T536" s="3"/>
      <c r="U536" s="3"/>
      <c r="V536" s="61" t="s">
        <v>748</v>
      </c>
    </row>
    <row r="537" s="2" customFormat="1" ht="15.75" spans="2:22">
      <c r="B537" s="56">
        <v>131</v>
      </c>
      <c r="C537" s="2">
        <v>536</v>
      </c>
      <c r="D537" s="10" t="s">
        <v>649</v>
      </c>
      <c r="E537" s="10">
        <v>210</v>
      </c>
      <c r="F537" s="10">
        <v>268</v>
      </c>
      <c r="G537" s="52">
        <v>3</v>
      </c>
      <c r="H537" s="24">
        <v>0</v>
      </c>
      <c r="I537" s="53"/>
      <c r="J537" s="57"/>
      <c r="K537" s="24">
        <v>0</v>
      </c>
      <c r="L537" s="10">
        <v>0</v>
      </c>
      <c r="M537" s="57"/>
      <c r="N537" s="57"/>
      <c r="O537" s="57"/>
      <c r="P537" s="3"/>
      <c r="Q537" s="3"/>
      <c r="R537" s="58" t="s">
        <v>702</v>
      </c>
      <c r="S537" s="10" t="s">
        <v>757</v>
      </c>
      <c r="T537" s="3"/>
      <c r="U537" s="3"/>
      <c r="V537" s="61" t="s">
        <v>748</v>
      </c>
    </row>
    <row r="538" s="2" customFormat="1" ht="15.75" spans="2:22">
      <c r="B538" s="56">
        <v>132</v>
      </c>
      <c r="C538" s="2">
        <v>537</v>
      </c>
      <c r="D538" s="10" t="s">
        <v>649</v>
      </c>
      <c r="E538" s="10">
        <v>163</v>
      </c>
      <c r="F538" s="10">
        <v>255</v>
      </c>
      <c r="G538" s="52">
        <v>3.8</v>
      </c>
      <c r="H538" s="24">
        <v>0</v>
      </c>
      <c r="I538" s="53"/>
      <c r="J538" s="57"/>
      <c r="K538" s="24">
        <v>0</v>
      </c>
      <c r="L538" s="10">
        <v>0</v>
      </c>
      <c r="M538" s="57"/>
      <c r="N538" s="57"/>
      <c r="O538" s="57"/>
      <c r="P538" s="3"/>
      <c r="Q538" s="3"/>
      <c r="R538" s="58" t="s">
        <v>702</v>
      </c>
      <c r="S538" s="10" t="s">
        <v>758</v>
      </c>
      <c r="T538" s="3"/>
      <c r="U538" s="3"/>
      <c r="V538" s="61" t="s">
        <v>748</v>
      </c>
    </row>
    <row r="539" s="2" customFormat="1" ht="15.75" spans="2:22">
      <c r="B539" s="56">
        <v>133</v>
      </c>
      <c r="C539" s="2">
        <v>538</v>
      </c>
      <c r="D539" s="10" t="s">
        <v>649</v>
      </c>
      <c r="E539" s="10">
        <v>165</v>
      </c>
      <c r="F539" s="10">
        <v>255</v>
      </c>
      <c r="G539" s="52">
        <v>3.8</v>
      </c>
      <c r="H539" s="24">
        <v>0</v>
      </c>
      <c r="I539" s="53"/>
      <c r="J539" s="57"/>
      <c r="K539" s="24">
        <v>0</v>
      </c>
      <c r="L539" s="10">
        <v>0</v>
      </c>
      <c r="M539" s="57"/>
      <c r="N539" s="57"/>
      <c r="O539" s="57"/>
      <c r="P539" s="3"/>
      <c r="Q539" s="3"/>
      <c r="R539" s="58" t="s">
        <v>702</v>
      </c>
      <c r="S539" s="10" t="s">
        <v>759</v>
      </c>
      <c r="T539" s="3"/>
      <c r="U539" s="3"/>
      <c r="V539" s="61" t="s">
        <v>748</v>
      </c>
    </row>
    <row r="540" s="2" customFormat="1" ht="15.75" spans="2:22">
      <c r="B540" s="56">
        <v>134</v>
      </c>
      <c r="C540" s="2">
        <v>539</v>
      </c>
      <c r="D540" s="10" t="s">
        <v>649</v>
      </c>
      <c r="E540" s="10">
        <v>182</v>
      </c>
      <c r="F540" s="10">
        <v>255</v>
      </c>
      <c r="G540" s="52">
        <v>3.8</v>
      </c>
      <c r="H540" s="24">
        <v>0</v>
      </c>
      <c r="I540" s="53"/>
      <c r="J540" s="57"/>
      <c r="K540" s="24">
        <v>0</v>
      </c>
      <c r="L540" s="10">
        <v>0</v>
      </c>
      <c r="M540" s="57"/>
      <c r="N540" s="57"/>
      <c r="O540" s="57"/>
      <c r="P540" s="3"/>
      <c r="Q540" s="3"/>
      <c r="R540" s="58" t="s">
        <v>702</v>
      </c>
      <c r="S540" s="10" t="s">
        <v>760</v>
      </c>
      <c r="T540" s="3"/>
      <c r="U540" s="3"/>
      <c r="V540" s="61" t="s">
        <v>748</v>
      </c>
    </row>
    <row r="541" s="2" customFormat="1" ht="15.75" spans="2:22">
      <c r="B541" s="56">
        <v>135</v>
      </c>
      <c r="C541" s="2">
        <v>540</v>
      </c>
      <c r="D541" s="10" t="s">
        <v>649</v>
      </c>
      <c r="E541" s="10">
        <v>225</v>
      </c>
      <c r="F541" s="10">
        <v>295</v>
      </c>
      <c r="G541" s="52">
        <v>45</v>
      </c>
      <c r="H541" s="24">
        <v>0</v>
      </c>
      <c r="I541" s="53"/>
      <c r="J541" s="57"/>
      <c r="K541" s="24">
        <v>0</v>
      </c>
      <c r="L541" s="10">
        <v>0</v>
      </c>
      <c r="M541" s="57"/>
      <c r="N541" s="57"/>
      <c r="O541" s="57"/>
      <c r="P541" s="3"/>
      <c r="Q541" s="3"/>
      <c r="R541" s="58" t="s">
        <v>761</v>
      </c>
      <c r="S541" s="10" t="s">
        <v>762</v>
      </c>
      <c r="T541" s="3"/>
      <c r="U541" s="3"/>
      <c r="V541" s="61" t="s">
        <v>748</v>
      </c>
    </row>
    <row r="542" s="2" customFormat="1" ht="15.75" spans="2:22">
      <c r="B542" s="56">
        <v>136</v>
      </c>
      <c r="C542" s="2">
        <v>541</v>
      </c>
      <c r="D542" s="10" t="s">
        <v>649</v>
      </c>
      <c r="E542" s="10">
        <v>179</v>
      </c>
      <c r="F542" s="10">
        <v>250</v>
      </c>
      <c r="G542" s="52">
        <v>45</v>
      </c>
      <c r="H542" s="24">
        <v>0</v>
      </c>
      <c r="I542" s="53"/>
      <c r="J542" s="57"/>
      <c r="K542" s="24">
        <v>0</v>
      </c>
      <c r="L542" s="10">
        <v>0</v>
      </c>
      <c r="M542" s="57"/>
      <c r="N542" s="57"/>
      <c r="O542" s="57"/>
      <c r="P542" s="3"/>
      <c r="Q542" s="3"/>
      <c r="R542" s="58" t="s">
        <v>63</v>
      </c>
      <c r="S542" s="10"/>
      <c r="T542" s="3"/>
      <c r="U542" s="3"/>
      <c r="V542" s="61" t="s">
        <v>748</v>
      </c>
    </row>
    <row r="543" s="2" customFormat="1" ht="15.75" spans="2:22">
      <c r="B543" s="56">
        <v>137</v>
      </c>
      <c r="C543" s="2">
        <v>542</v>
      </c>
      <c r="D543" s="10" t="s">
        <v>649</v>
      </c>
      <c r="E543" s="10">
        <v>175</v>
      </c>
      <c r="F543" s="10">
        <v>250</v>
      </c>
      <c r="G543" s="52">
        <v>45</v>
      </c>
      <c r="H543" s="24">
        <v>0</v>
      </c>
      <c r="I543" s="53"/>
      <c r="J543" s="57"/>
      <c r="K543" s="24">
        <v>0</v>
      </c>
      <c r="L543" s="10">
        <v>0</v>
      </c>
      <c r="M543" s="57"/>
      <c r="N543" s="57"/>
      <c r="O543" s="57"/>
      <c r="P543" s="3"/>
      <c r="Q543" s="3"/>
      <c r="R543" s="58" t="s">
        <v>63</v>
      </c>
      <c r="S543" s="10"/>
      <c r="T543" s="3"/>
      <c r="U543" s="3"/>
      <c r="V543" s="61" t="s">
        <v>748</v>
      </c>
    </row>
    <row r="544" s="2" customFormat="1" ht="15.75" spans="2:22">
      <c r="B544" s="56">
        <v>138</v>
      </c>
      <c r="C544" s="2">
        <v>543</v>
      </c>
      <c r="D544" s="10" t="s">
        <v>649</v>
      </c>
      <c r="E544" s="10">
        <v>160</v>
      </c>
      <c r="F544" s="10">
        <v>250</v>
      </c>
      <c r="G544" s="52">
        <v>45</v>
      </c>
      <c r="H544" s="24">
        <v>0</v>
      </c>
      <c r="I544" s="53"/>
      <c r="J544" s="57"/>
      <c r="K544" s="24">
        <v>0</v>
      </c>
      <c r="L544" s="10">
        <v>0</v>
      </c>
      <c r="M544" s="57"/>
      <c r="N544" s="57"/>
      <c r="O544" s="57"/>
      <c r="P544" s="3"/>
      <c r="Q544" s="3"/>
      <c r="R544" s="58" t="s">
        <v>63</v>
      </c>
      <c r="S544" s="10"/>
      <c r="T544" s="3"/>
      <c r="U544" s="3"/>
      <c r="V544" s="61" t="s">
        <v>748</v>
      </c>
    </row>
    <row r="545" s="2" customFormat="1" ht="15.75" spans="2:22">
      <c r="B545" s="56">
        <v>139</v>
      </c>
      <c r="C545" s="2">
        <v>544</v>
      </c>
      <c r="D545" s="10" t="s">
        <v>763</v>
      </c>
      <c r="E545" s="10">
        <v>162</v>
      </c>
      <c r="F545" s="10">
        <v>291</v>
      </c>
      <c r="G545" s="52">
        <v>30</v>
      </c>
      <c r="H545" s="24">
        <v>0</v>
      </c>
      <c r="I545" s="53"/>
      <c r="J545" s="57"/>
      <c r="K545" s="24">
        <v>0</v>
      </c>
      <c r="L545" s="10">
        <v>0</v>
      </c>
      <c r="M545" s="57"/>
      <c r="N545" s="57"/>
      <c r="O545" s="57"/>
      <c r="P545" s="3"/>
      <c r="Q545" s="3"/>
      <c r="R545" s="36" t="s">
        <v>702</v>
      </c>
      <c r="S545" s="10"/>
      <c r="T545" s="3"/>
      <c r="U545" s="3"/>
      <c r="V545" s="69" t="s">
        <v>764</v>
      </c>
    </row>
    <row r="546" s="2" customFormat="1" ht="15.75" spans="2:22">
      <c r="B546" s="56">
        <v>140</v>
      </c>
      <c r="C546" s="2">
        <v>545</v>
      </c>
      <c r="D546" s="10" t="s">
        <v>763</v>
      </c>
      <c r="E546" s="10">
        <v>143</v>
      </c>
      <c r="F546" s="10">
        <v>308</v>
      </c>
      <c r="G546" s="52">
        <v>12.5</v>
      </c>
      <c r="H546" s="24">
        <v>0</v>
      </c>
      <c r="I546" s="53"/>
      <c r="J546" s="57"/>
      <c r="K546" s="24">
        <v>0</v>
      </c>
      <c r="L546" s="10">
        <v>0</v>
      </c>
      <c r="M546" s="57"/>
      <c r="N546" s="57"/>
      <c r="O546" s="57"/>
      <c r="P546" s="3"/>
      <c r="Q546" s="3"/>
      <c r="R546" s="36" t="s">
        <v>702</v>
      </c>
      <c r="S546" s="10"/>
      <c r="T546" s="3"/>
      <c r="U546" s="3"/>
      <c r="V546" s="69" t="s">
        <v>764</v>
      </c>
    </row>
    <row r="547" s="2" customFormat="1" ht="15.75" spans="2:22">
      <c r="B547" s="56">
        <v>141</v>
      </c>
      <c r="C547" s="2">
        <v>546</v>
      </c>
      <c r="D547" s="10" t="s">
        <v>763</v>
      </c>
      <c r="E547" s="10">
        <v>198</v>
      </c>
      <c r="F547" s="10">
        <v>332</v>
      </c>
      <c r="G547" s="52">
        <v>2.1</v>
      </c>
      <c r="H547" s="24">
        <v>0</v>
      </c>
      <c r="I547" s="53"/>
      <c r="J547" s="57"/>
      <c r="K547" s="24">
        <v>0</v>
      </c>
      <c r="L547" s="10">
        <v>0</v>
      </c>
      <c r="M547" s="57"/>
      <c r="N547" s="57"/>
      <c r="O547" s="57"/>
      <c r="P547" s="3"/>
      <c r="Q547" s="3"/>
      <c r="R547" s="36" t="s">
        <v>702</v>
      </c>
      <c r="S547" s="10"/>
      <c r="T547" s="3"/>
      <c r="U547" s="3"/>
      <c r="V547" s="69" t="s">
        <v>764</v>
      </c>
    </row>
    <row r="548" s="2" customFormat="1" ht="15.75" spans="2:22">
      <c r="B548" s="56">
        <v>142</v>
      </c>
      <c r="C548" s="2">
        <v>547</v>
      </c>
      <c r="D548" s="10" t="s">
        <v>763</v>
      </c>
      <c r="E548" s="10">
        <v>238</v>
      </c>
      <c r="F548" s="10">
        <v>363</v>
      </c>
      <c r="G548" s="52">
        <v>1.1</v>
      </c>
      <c r="H548" s="24">
        <v>0</v>
      </c>
      <c r="I548" s="53"/>
      <c r="J548" s="57"/>
      <c r="K548" s="24">
        <v>0</v>
      </c>
      <c r="L548" s="10">
        <v>0</v>
      </c>
      <c r="M548" s="57"/>
      <c r="N548" s="57"/>
      <c r="O548" s="57"/>
      <c r="P548" s="3"/>
      <c r="Q548" s="3"/>
      <c r="R548" s="36" t="s">
        <v>702</v>
      </c>
      <c r="S548" s="10"/>
      <c r="T548" s="3"/>
      <c r="U548" s="3"/>
      <c r="V548" s="69" t="s">
        <v>764</v>
      </c>
    </row>
    <row r="549" s="2" customFormat="1" ht="15.75" spans="2:22">
      <c r="B549" s="56">
        <v>143</v>
      </c>
      <c r="C549" s="2">
        <v>548</v>
      </c>
      <c r="D549" s="10" t="s">
        <v>763</v>
      </c>
      <c r="E549" s="10">
        <v>298</v>
      </c>
      <c r="F549" s="10">
        <v>378</v>
      </c>
      <c r="G549" s="52">
        <v>0.7</v>
      </c>
      <c r="H549" s="24">
        <v>0</v>
      </c>
      <c r="I549" s="53"/>
      <c r="J549" s="57"/>
      <c r="K549" s="24">
        <v>0</v>
      </c>
      <c r="L549" s="10">
        <v>0</v>
      </c>
      <c r="M549" s="57"/>
      <c r="N549" s="57"/>
      <c r="O549" s="57"/>
      <c r="P549" s="3"/>
      <c r="Q549" s="3"/>
      <c r="R549" s="36" t="s">
        <v>702</v>
      </c>
      <c r="S549" s="10"/>
      <c r="T549" s="3"/>
      <c r="U549" s="3"/>
      <c r="V549" s="69" t="s">
        <v>764</v>
      </c>
    </row>
    <row r="550" s="2" customFormat="1" ht="15.75" spans="2:22">
      <c r="B550" s="56">
        <v>144</v>
      </c>
      <c r="C550" s="2">
        <v>549</v>
      </c>
      <c r="D550" s="10" t="s">
        <v>765</v>
      </c>
      <c r="E550" s="10">
        <v>159</v>
      </c>
      <c r="F550" s="10">
        <v>260</v>
      </c>
      <c r="G550" s="52">
        <v>34.2</v>
      </c>
      <c r="H550" s="24">
        <v>0</v>
      </c>
      <c r="I550" s="53"/>
      <c r="J550" s="57"/>
      <c r="K550" s="24">
        <v>0</v>
      </c>
      <c r="L550" s="10">
        <v>0</v>
      </c>
      <c r="M550" s="57"/>
      <c r="N550" s="57"/>
      <c r="O550" s="57"/>
      <c r="P550" s="3"/>
      <c r="Q550" s="3"/>
      <c r="R550" s="36" t="s">
        <v>702</v>
      </c>
      <c r="S550" s="10" t="s">
        <v>766</v>
      </c>
      <c r="T550" s="3"/>
      <c r="U550" s="3"/>
      <c r="V550" s="70" t="s">
        <v>767</v>
      </c>
    </row>
    <row r="551" s="2" customFormat="1" ht="15.75" spans="2:22">
      <c r="B551" s="56">
        <v>145</v>
      </c>
      <c r="C551" s="2">
        <v>550</v>
      </c>
      <c r="D551" s="10" t="s">
        <v>765</v>
      </c>
      <c r="E551" s="10">
        <v>280</v>
      </c>
      <c r="F551" s="10">
        <v>305</v>
      </c>
      <c r="G551" s="52">
        <v>12</v>
      </c>
      <c r="H551" s="24">
        <v>0</v>
      </c>
      <c r="I551" s="53"/>
      <c r="J551" s="57"/>
      <c r="K551" s="24">
        <v>0</v>
      </c>
      <c r="L551" s="10">
        <v>0</v>
      </c>
      <c r="M551" s="57"/>
      <c r="N551" s="57"/>
      <c r="O551" s="57"/>
      <c r="P551" s="3"/>
      <c r="Q551" s="3"/>
      <c r="R551" s="36" t="s">
        <v>702</v>
      </c>
      <c r="S551" s="10" t="s">
        <v>745</v>
      </c>
      <c r="T551" s="3"/>
      <c r="U551" s="3"/>
      <c r="V551" s="70" t="s">
        <v>767</v>
      </c>
    </row>
    <row r="552" s="2" customFormat="1" ht="15.75" spans="2:22">
      <c r="B552" s="56">
        <v>146</v>
      </c>
      <c r="C552" s="2">
        <v>551</v>
      </c>
      <c r="D552" s="10" t="s">
        <v>765</v>
      </c>
      <c r="E552" s="10">
        <v>310</v>
      </c>
      <c r="F552" s="10">
        <v>335</v>
      </c>
      <c r="G552" s="52">
        <v>13</v>
      </c>
      <c r="H552" s="24">
        <v>0</v>
      </c>
      <c r="I552" s="53"/>
      <c r="J552" s="57"/>
      <c r="K552" s="24">
        <v>0</v>
      </c>
      <c r="L552" s="10">
        <v>0</v>
      </c>
      <c r="M552" s="57"/>
      <c r="N552" s="57"/>
      <c r="O552" s="57"/>
      <c r="P552" s="3"/>
      <c r="Q552" s="3"/>
      <c r="R552" s="36" t="s">
        <v>702</v>
      </c>
      <c r="S552" s="10" t="s">
        <v>768</v>
      </c>
      <c r="T552" s="3"/>
      <c r="U552" s="3"/>
      <c r="V552" s="70" t="s">
        <v>767</v>
      </c>
    </row>
    <row r="553" s="2" customFormat="1" ht="15.75" spans="2:22">
      <c r="B553" s="56">
        <v>147</v>
      </c>
      <c r="C553" s="2">
        <v>552</v>
      </c>
      <c r="D553" s="10" t="s">
        <v>765</v>
      </c>
      <c r="E553" s="10">
        <v>305</v>
      </c>
      <c r="F553" s="10">
        <v>330</v>
      </c>
      <c r="G553" s="52">
        <v>11</v>
      </c>
      <c r="H553" s="24">
        <v>0</v>
      </c>
      <c r="I553" s="53"/>
      <c r="J553" s="57"/>
      <c r="K553" s="24">
        <v>0</v>
      </c>
      <c r="L553" s="10">
        <v>0</v>
      </c>
      <c r="M553" s="57"/>
      <c r="N553" s="57"/>
      <c r="O553" s="57"/>
      <c r="P553" s="3"/>
      <c r="Q553" s="3"/>
      <c r="R553" s="36" t="s">
        <v>702</v>
      </c>
      <c r="S553" s="10" t="s">
        <v>769</v>
      </c>
      <c r="T553" s="3"/>
      <c r="U553" s="3"/>
      <c r="V553" s="70" t="s">
        <v>767</v>
      </c>
    </row>
    <row r="554" s="2" customFormat="1" ht="15.75" spans="2:22">
      <c r="B554" s="56">
        <v>148</v>
      </c>
      <c r="C554" s="2">
        <v>553</v>
      </c>
      <c r="D554" s="10" t="s">
        <v>765</v>
      </c>
      <c r="E554" s="10">
        <v>281</v>
      </c>
      <c r="F554" s="10">
        <v>310</v>
      </c>
      <c r="G554" s="52">
        <v>14</v>
      </c>
      <c r="H554" s="24">
        <v>0</v>
      </c>
      <c r="I554" s="53"/>
      <c r="J554" s="57"/>
      <c r="K554" s="24">
        <v>0</v>
      </c>
      <c r="L554" s="10">
        <v>0</v>
      </c>
      <c r="M554" s="57"/>
      <c r="N554" s="57"/>
      <c r="O554" s="57"/>
      <c r="P554" s="3"/>
      <c r="Q554" s="3"/>
      <c r="R554" s="36" t="s">
        <v>702</v>
      </c>
      <c r="S554" s="10" t="s">
        <v>770</v>
      </c>
      <c r="T554" s="3"/>
      <c r="U554" s="3"/>
      <c r="V554" s="70" t="s">
        <v>767</v>
      </c>
    </row>
    <row r="555" s="2" customFormat="1" ht="15.75" spans="2:22">
      <c r="B555" s="56">
        <v>149</v>
      </c>
      <c r="C555" s="2">
        <v>554</v>
      </c>
      <c r="D555" s="10" t="s">
        <v>765</v>
      </c>
      <c r="E555" s="10">
        <v>255</v>
      </c>
      <c r="F555" s="10">
        <v>295</v>
      </c>
      <c r="G555" s="52">
        <v>26</v>
      </c>
      <c r="H555" s="24">
        <v>0</v>
      </c>
      <c r="I555" s="53"/>
      <c r="J555" s="57"/>
      <c r="K555" s="24">
        <v>0</v>
      </c>
      <c r="L555" s="10">
        <v>0</v>
      </c>
      <c r="M555" s="57"/>
      <c r="N555" s="57"/>
      <c r="O555" s="57"/>
      <c r="P555" s="3"/>
      <c r="Q555" s="3"/>
      <c r="R555" s="36" t="s">
        <v>702</v>
      </c>
      <c r="S555" s="10" t="s">
        <v>771</v>
      </c>
      <c r="T555" s="3"/>
      <c r="U555" s="3"/>
      <c r="V555" s="70" t="s">
        <v>767</v>
      </c>
    </row>
    <row r="556" s="2" customFormat="1" ht="15.75" spans="2:22">
      <c r="B556" s="56">
        <v>150</v>
      </c>
      <c r="C556" s="2">
        <v>555</v>
      </c>
      <c r="D556" s="10" t="s">
        <v>772</v>
      </c>
      <c r="E556" s="10">
        <v>149</v>
      </c>
      <c r="F556" s="10">
        <v>307</v>
      </c>
      <c r="G556" s="52">
        <v>50</v>
      </c>
      <c r="H556" s="24">
        <v>0</v>
      </c>
      <c r="I556" s="53"/>
      <c r="J556" s="57"/>
      <c r="K556" s="24">
        <v>0</v>
      </c>
      <c r="L556" s="10">
        <v>0</v>
      </c>
      <c r="M556" s="57"/>
      <c r="N556" s="57"/>
      <c r="O556" s="57"/>
      <c r="P556" s="3"/>
      <c r="Q556" s="3"/>
      <c r="R556" s="36" t="s">
        <v>702</v>
      </c>
      <c r="S556" s="10" t="s">
        <v>773</v>
      </c>
      <c r="T556" s="3"/>
      <c r="U556" s="3"/>
      <c r="V556" s="65" t="s">
        <v>774</v>
      </c>
    </row>
    <row r="557" s="2" customFormat="1" ht="15.75" spans="2:22">
      <c r="B557" s="56">
        <v>151</v>
      </c>
      <c r="C557" s="2">
        <v>556</v>
      </c>
      <c r="D557" s="10" t="s">
        <v>649</v>
      </c>
      <c r="E557" s="10">
        <v>200</v>
      </c>
      <c r="F557" s="10">
        <v>318</v>
      </c>
      <c r="G557" s="52">
        <v>10</v>
      </c>
      <c r="H557" s="24">
        <v>0</v>
      </c>
      <c r="I557" s="53"/>
      <c r="J557" s="57"/>
      <c r="K557" s="24">
        <v>0</v>
      </c>
      <c r="L557" s="10">
        <v>0</v>
      </c>
      <c r="M557" s="57"/>
      <c r="N557" s="57"/>
      <c r="O557" s="57"/>
      <c r="P557" s="3"/>
      <c r="Q557" s="3"/>
      <c r="R557" s="36" t="s">
        <v>702</v>
      </c>
      <c r="S557" s="10" t="s">
        <v>775</v>
      </c>
      <c r="T557" s="3"/>
      <c r="U557" s="3"/>
      <c r="V557" s="65" t="s">
        <v>774</v>
      </c>
    </row>
    <row r="558" s="2" customFormat="1" ht="15.75" spans="2:22">
      <c r="B558" s="56">
        <v>152</v>
      </c>
      <c r="C558" s="2">
        <v>557</v>
      </c>
      <c r="D558" s="10" t="s">
        <v>649</v>
      </c>
      <c r="E558" s="10">
        <v>191</v>
      </c>
      <c r="F558" s="10">
        <v>324</v>
      </c>
      <c r="G558" s="52">
        <v>9</v>
      </c>
      <c r="H558" s="24">
        <v>0</v>
      </c>
      <c r="I558" s="53"/>
      <c r="J558" s="57"/>
      <c r="K558" s="24">
        <v>0</v>
      </c>
      <c r="L558" s="10">
        <v>0</v>
      </c>
      <c r="M558" s="57"/>
      <c r="N558" s="57"/>
      <c r="O558" s="57"/>
      <c r="P558" s="3"/>
      <c r="Q558" s="3"/>
      <c r="R558" s="36" t="s">
        <v>702</v>
      </c>
      <c r="S558" s="10" t="s">
        <v>776</v>
      </c>
      <c r="T558" s="3"/>
      <c r="U558" s="3"/>
      <c r="V558" s="65" t="s">
        <v>774</v>
      </c>
    </row>
    <row r="559" s="2" customFormat="1" ht="15.75" spans="2:22">
      <c r="B559" s="56">
        <v>153</v>
      </c>
      <c r="C559" s="2">
        <v>558</v>
      </c>
      <c r="D559" s="10" t="s">
        <v>649</v>
      </c>
      <c r="E559" s="10">
        <v>204</v>
      </c>
      <c r="F559" s="10">
        <v>330</v>
      </c>
      <c r="G559" s="52">
        <v>7</v>
      </c>
      <c r="H559" s="24">
        <v>0</v>
      </c>
      <c r="I559" s="53"/>
      <c r="J559" s="57"/>
      <c r="K559" s="24">
        <v>0</v>
      </c>
      <c r="L559" s="10">
        <v>0</v>
      </c>
      <c r="M559" s="57"/>
      <c r="N559" s="57"/>
      <c r="O559" s="57"/>
      <c r="P559" s="3"/>
      <c r="Q559" s="3"/>
      <c r="R559" s="36" t="s">
        <v>702</v>
      </c>
      <c r="S559" s="10" t="s">
        <v>777</v>
      </c>
      <c r="T559" s="3"/>
      <c r="U559" s="3"/>
      <c r="V559" s="65" t="s">
        <v>774</v>
      </c>
    </row>
    <row r="560" s="2" customFormat="1" ht="15.75" spans="2:22">
      <c r="B560" s="56">
        <v>154</v>
      </c>
      <c r="C560" s="2">
        <v>559</v>
      </c>
      <c r="D560" s="10" t="s">
        <v>734</v>
      </c>
      <c r="E560" s="10">
        <v>282</v>
      </c>
      <c r="F560" s="10">
        <v>358</v>
      </c>
      <c r="G560" s="52">
        <v>7.6</v>
      </c>
      <c r="H560" s="24">
        <v>0</v>
      </c>
      <c r="I560" s="53"/>
      <c r="J560" s="57"/>
      <c r="K560" s="24">
        <v>0</v>
      </c>
      <c r="L560" s="10">
        <v>0</v>
      </c>
      <c r="M560" s="57"/>
      <c r="N560" s="57"/>
      <c r="O560" s="57"/>
      <c r="P560" s="3"/>
      <c r="Q560" s="3"/>
      <c r="R560" s="36" t="s">
        <v>702</v>
      </c>
      <c r="S560" s="10" t="s">
        <v>778</v>
      </c>
      <c r="T560" s="3"/>
      <c r="U560" s="3"/>
      <c r="V560" s="60" t="s">
        <v>779</v>
      </c>
    </row>
    <row r="561" s="2" customFormat="1" ht="15.75" spans="2:22">
      <c r="B561" s="56">
        <v>155</v>
      </c>
      <c r="C561" s="2">
        <v>560</v>
      </c>
      <c r="D561" s="10" t="s">
        <v>734</v>
      </c>
      <c r="E561" s="10">
        <v>245</v>
      </c>
      <c r="F561" s="10">
        <v>310</v>
      </c>
      <c r="G561" s="52">
        <v>7.7</v>
      </c>
      <c r="H561" s="24">
        <v>0</v>
      </c>
      <c r="I561" s="53"/>
      <c r="J561" s="57"/>
      <c r="K561" s="24">
        <v>0</v>
      </c>
      <c r="L561" s="10">
        <v>0</v>
      </c>
      <c r="M561" s="57"/>
      <c r="N561" s="57"/>
      <c r="O561" s="57"/>
      <c r="P561" s="3"/>
      <c r="Q561" s="3"/>
      <c r="R561" s="36" t="s">
        <v>702</v>
      </c>
      <c r="S561" s="10" t="s">
        <v>780</v>
      </c>
      <c r="T561" s="3"/>
      <c r="U561" s="3"/>
      <c r="V561" s="60" t="s">
        <v>779</v>
      </c>
    </row>
    <row r="562" s="2" customFormat="1" ht="15.75" spans="2:22">
      <c r="B562" s="56">
        <v>156</v>
      </c>
      <c r="C562" s="2">
        <v>561</v>
      </c>
      <c r="D562" s="10" t="s">
        <v>734</v>
      </c>
      <c r="E562" s="10">
        <v>225</v>
      </c>
      <c r="F562" s="10">
        <v>295</v>
      </c>
      <c r="G562" s="52">
        <v>6.3</v>
      </c>
      <c r="H562" s="24">
        <v>0</v>
      </c>
      <c r="I562" s="53"/>
      <c r="J562" s="57"/>
      <c r="K562" s="24">
        <v>0</v>
      </c>
      <c r="L562" s="10">
        <v>0</v>
      </c>
      <c r="M562" s="57"/>
      <c r="N562" s="57"/>
      <c r="O562" s="57"/>
      <c r="P562" s="3"/>
      <c r="Q562" s="3"/>
      <c r="R562" s="36" t="s">
        <v>702</v>
      </c>
      <c r="S562" s="10" t="s">
        <v>781</v>
      </c>
      <c r="T562" s="3"/>
      <c r="U562" s="3"/>
      <c r="V562" s="60" t="s">
        <v>779</v>
      </c>
    </row>
    <row r="563" s="2" customFormat="1" ht="15.75" spans="2:22">
      <c r="B563" s="56">
        <v>157</v>
      </c>
      <c r="C563" s="2">
        <v>562</v>
      </c>
      <c r="D563" s="10" t="s">
        <v>734</v>
      </c>
      <c r="E563" s="10">
        <v>218</v>
      </c>
      <c r="F563" s="10">
        <v>295</v>
      </c>
      <c r="G563" s="52">
        <v>6.3</v>
      </c>
      <c r="H563" s="24">
        <v>0</v>
      </c>
      <c r="I563" s="53"/>
      <c r="J563" s="57"/>
      <c r="K563" s="24">
        <v>0</v>
      </c>
      <c r="L563" s="10">
        <v>0</v>
      </c>
      <c r="M563" s="57"/>
      <c r="N563" s="57"/>
      <c r="O563" s="57"/>
      <c r="P563" s="3"/>
      <c r="Q563" s="3"/>
      <c r="R563" s="36" t="s">
        <v>702</v>
      </c>
      <c r="S563" s="10" t="s">
        <v>782</v>
      </c>
      <c r="T563" s="3"/>
      <c r="U563" s="3"/>
      <c r="V563" s="60" t="s">
        <v>779</v>
      </c>
    </row>
    <row r="564" s="2" customFormat="1" ht="15.75" spans="2:22">
      <c r="B564" s="56">
        <v>158</v>
      </c>
      <c r="C564" s="2">
        <v>563</v>
      </c>
      <c r="D564" s="10" t="s">
        <v>734</v>
      </c>
      <c r="E564" s="10">
        <v>219</v>
      </c>
      <c r="F564" s="10">
        <v>290</v>
      </c>
      <c r="G564" s="52">
        <v>4.5</v>
      </c>
      <c r="H564" s="24">
        <v>0</v>
      </c>
      <c r="I564" s="53"/>
      <c r="J564" s="57"/>
      <c r="K564" s="24">
        <v>0</v>
      </c>
      <c r="L564" s="10">
        <v>0</v>
      </c>
      <c r="M564" s="57"/>
      <c r="N564" s="57"/>
      <c r="O564" s="57"/>
      <c r="P564" s="3"/>
      <c r="Q564" s="3"/>
      <c r="R564" s="36" t="s">
        <v>702</v>
      </c>
      <c r="S564" s="10" t="s">
        <v>783</v>
      </c>
      <c r="T564" s="3"/>
      <c r="U564" s="3"/>
      <c r="V564" s="60" t="s">
        <v>779</v>
      </c>
    </row>
    <row r="565" s="2" customFormat="1" ht="15.75" spans="2:22">
      <c r="B565" s="56">
        <v>159</v>
      </c>
      <c r="C565" s="2">
        <v>564</v>
      </c>
      <c r="D565" s="10" t="s">
        <v>734</v>
      </c>
      <c r="E565" s="10">
        <v>233</v>
      </c>
      <c r="F565" s="10">
        <v>284</v>
      </c>
      <c r="G565" s="52">
        <v>10</v>
      </c>
      <c r="H565" s="24">
        <v>0</v>
      </c>
      <c r="I565" s="53"/>
      <c r="J565" s="57"/>
      <c r="K565" s="24">
        <v>0</v>
      </c>
      <c r="L565" s="10">
        <v>0</v>
      </c>
      <c r="M565" s="57"/>
      <c r="N565" s="57"/>
      <c r="O565" s="57"/>
      <c r="P565" s="3"/>
      <c r="Q565" s="3"/>
      <c r="R565" s="36" t="s">
        <v>702</v>
      </c>
      <c r="S565" s="10" t="s">
        <v>743</v>
      </c>
      <c r="T565" s="3"/>
      <c r="U565" s="3"/>
      <c r="V565" s="59" t="s">
        <v>784</v>
      </c>
    </row>
    <row r="566" s="2" customFormat="1" ht="15.75" spans="2:22">
      <c r="B566" s="56">
        <v>160</v>
      </c>
      <c r="C566" s="2">
        <v>565</v>
      </c>
      <c r="D566" s="10" t="s">
        <v>734</v>
      </c>
      <c r="E566" s="10">
        <v>174</v>
      </c>
      <c r="F566" s="10">
        <v>270</v>
      </c>
      <c r="G566" s="52">
        <v>14</v>
      </c>
      <c r="H566" s="24">
        <v>0</v>
      </c>
      <c r="I566" s="53"/>
      <c r="J566" s="57"/>
      <c r="K566" s="24">
        <v>0</v>
      </c>
      <c r="L566" s="10">
        <v>0</v>
      </c>
      <c r="M566" s="57"/>
      <c r="N566" s="57"/>
      <c r="O566" s="57"/>
      <c r="P566" s="3"/>
      <c r="Q566" s="3"/>
      <c r="R566" s="36" t="s">
        <v>702</v>
      </c>
      <c r="S566" s="10" t="s">
        <v>768</v>
      </c>
      <c r="T566" s="3"/>
      <c r="U566" s="3"/>
      <c r="V566" s="59" t="s">
        <v>784</v>
      </c>
    </row>
    <row r="567" s="2" customFormat="1" ht="15.75" spans="2:22">
      <c r="B567" s="56">
        <v>161</v>
      </c>
      <c r="C567" s="2">
        <v>566</v>
      </c>
      <c r="D567" s="10" t="s">
        <v>763</v>
      </c>
      <c r="E567" s="10">
        <v>325</v>
      </c>
      <c r="F567" s="10">
        <v>375</v>
      </c>
      <c r="G567" s="52">
        <v>1</v>
      </c>
      <c r="H567" s="24">
        <v>0</v>
      </c>
      <c r="I567" s="53"/>
      <c r="J567" s="57"/>
      <c r="K567" s="24">
        <v>0</v>
      </c>
      <c r="L567" s="10">
        <v>0</v>
      </c>
      <c r="M567" s="57"/>
      <c r="N567" s="57"/>
      <c r="O567" s="57"/>
      <c r="P567" s="3"/>
      <c r="Q567" s="3"/>
      <c r="R567" s="36" t="s">
        <v>702</v>
      </c>
      <c r="S567" s="10" t="s">
        <v>785</v>
      </c>
      <c r="T567" s="3"/>
      <c r="U567" s="3"/>
      <c r="V567" s="69" t="s">
        <v>786</v>
      </c>
    </row>
    <row r="568" s="2" customFormat="1" ht="15.75" spans="2:22">
      <c r="B568" s="56">
        <v>162</v>
      </c>
      <c r="C568" s="2">
        <v>567</v>
      </c>
      <c r="D568" s="10" t="s">
        <v>763</v>
      </c>
      <c r="E568" s="10">
        <v>325</v>
      </c>
      <c r="F568" s="10">
        <v>330</v>
      </c>
      <c r="G568" s="52">
        <v>1</v>
      </c>
      <c r="H568" s="24">
        <v>0</v>
      </c>
      <c r="I568" s="53"/>
      <c r="J568" s="57"/>
      <c r="K568" s="24">
        <v>0</v>
      </c>
      <c r="L568" s="10">
        <v>0</v>
      </c>
      <c r="M568" s="57"/>
      <c r="N568" s="57"/>
      <c r="O568" s="57"/>
      <c r="P568" s="3"/>
      <c r="Q568" s="3"/>
      <c r="R568" s="36" t="s">
        <v>702</v>
      </c>
      <c r="S568" s="10" t="s">
        <v>787</v>
      </c>
      <c r="T568" s="3"/>
      <c r="U568" s="3"/>
      <c r="V568" s="69" t="s">
        <v>786</v>
      </c>
    </row>
    <row r="569" s="2" customFormat="1" ht="15.75" spans="2:22">
      <c r="B569" s="56">
        <v>163</v>
      </c>
      <c r="C569" s="2">
        <v>568</v>
      </c>
      <c r="D569" s="10" t="s">
        <v>763</v>
      </c>
      <c r="E569" s="10">
        <v>324</v>
      </c>
      <c r="F569" s="10">
        <v>330</v>
      </c>
      <c r="G569" s="52">
        <v>2</v>
      </c>
      <c r="H569" s="24">
        <v>0</v>
      </c>
      <c r="I569" s="53"/>
      <c r="J569" s="57"/>
      <c r="K569" s="24">
        <v>0</v>
      </c>
      <c r="L569" s="10">
        <v>0</v>
      </c>
      <c r="M569" s="57"/>
      <c r="N569" s="57"/>
      <c r="O569" s="57"/>
      <c r="P569" s="3"/>
      <c r="Q569" s="3"/>
      <c r="R569" s="36" t="s">
        <v>702</v>
      </c>
      <c r="S569" s="10" t="s">
        <v>788</v>
      </c>
      <c r="T569" s="3"/>
      <c r="U569" s="3"/>
      <c r="V569" s="69" t="s">
        <v>786</v>
      </c>
    </row>
    <row r="570" s="2" customFormat="1" ht="15.75" spans="2:22">
      <c r="B570" s="56">
        <v>164</v>
      </c>
      <c r="C570" s="2">
        <v>569</v>
      </c>
      <c r="D570" s="10" t="s">
        <v>763</v>
      </c>
      <c r="E570" s="10">
        <v>315</v>
      </c>
      <c r="F570" s="10">
        <v>330</v>
      </c>
      <c r="G570" s="52">
        <v>3.5</v>
      </c>
      <c r="H570" s="24">
        <v>0</v>
      </c>
      <c r="I570" s="53"/>
      <c r="J570" s="57"/>
      <c r="K570" s="24">
        <v>0</v>
      </c>
      <c r="L570" s="10">
        <v>0</v>
      </c>
      <c r="M570" s="57"/>
      <c r="N570" s="57"/>
      <c r="O570" s="57"/>
      <c r="P570" s="3"/>
      <c r="Q570" s="3"/>
      <c r="R570" s="36" t="s">
        <v>702</v>
      </c>
      <c r="S570" s="10" t="s">
        <v>789</v>
      </c>
      <c r="T570" s="3"/>
      <c r="U570" s="3"/>
      <c r="V570" s="69" t="s">
        <v>786</v>
      </c>
    </row>
    <row r="571" s="2" customFormat="1" ht="15.75" spans="2:22">
      <c r="B571" s="56">
        <v>165</v>
      </c>
      <c r="C571" s="2">
        <v>570</v>
      </c>
      <c r="D571" s="10" t="s">
        <v>763</v>
      </c>
      <c r="E571" s="10">
        <v>290</v>
      </c>
      <c r="F571" s="10">
        <v>320</v>
      </c>
      <c r="G571" s="52">
        <v>5</v>
      </c>
      <c r="H571" s="24">
        <v>0</v>
      </c>
      <c r="I571" s="53"/>
      <c r="J571" s="57"/>
      <c r="K571" s="24">
        <v>0</v>
      </c>
      <c r="L571" s="10">
        <v>0</v>
      </c>
      <c r="M571" s="57"/>
      <c r="N571" s="57"/>
      <c r="O571" s="57"/>
      <c r="P571" s="3"/>
      <c r="Q571" s="3"/>
      <c r="R571" s="36" t="s">
        <v>702</v>
      </c>
      <c r="S571" s="10" t="s">
        <v>790</v>
      </c>
      <c r="T571" s="3"/>
      <c r="U571" s="3"/>
      <c r="V571" s="69" t="s">
        <v>786</v>
      </c>
    </row>
    <row r="572" s="2" customFormat="1" ht="15.75" spans="2:22">
      <c r="B572" s="56">
        <v>166</v>
      </c>
      <c r="C572" s="2">
        <v>571</v>
      </c>
      <c r="D572" s="10" t="s">
        <v>763</v>
      </c>
      <c r="E572" s="10">
        <v>290</v>
      </c>
      <c r="F572" s="10">
        <v>325</v>
      </c>
      <c r="G572" s="52">
        <v>1</v>
      </c>
      <c r="H572" s="24">
        <v>0</v>
      </c>
      <c r="I572" s="53"/>
      <c r="J572" s="57"/>
      <c r="K572" s="24">
        <v>0</v>
      </c>
      <c r="L572" s="10">
        <v>0</v>
      </c>
      <c r="M572" s="57"/>
      <c r="N572" s="57"/>
      <c r="O572" s="57"/>
      <c r="P572" s="3"/>
      <c r="Q572" s="3"/>
      <c r="R572" s="36" t="s">
        <v>702</v>
      </c>
      <c r="S572" s="10" t="s">
        <v>791</v>
      </c>
      <c r="T572" s="3"/>
      <c r="U572" s="3"/>
      <c r="V572" s="69" t="s">
        <v>786</v>
      </c>
    </row>
    <row r="573" s="2" customFormat="1" ht="15.75" spans="2:22">
      <c r="B573" s="56">
        <v>167</v>
      </c>
      <c r="C573" s="2">
        <v>572</v>
      </c>
      <c r="D573" s="10" t="s">
        <v>763</v>
      </c>
      <c r="E573" s="10">
        <v>290</v>
      </c>
      <c r="F573" s="10">
        <v>320</v>
      </c>
      <c r="G573" s="52">
        <v>1</v>
      </c>
      <c r="H573" s="24">
        <v>0</v>
      </c>
      <c r="I573" s="53"/>
      <c r="J573" s="57"/>
      <c r="K573" s="24">
        <v>0</v>
      </c>
      <c r="L573" s="10">
        <v>0</v>
      </c>
      <c r="M573" s="57"/>
      <c r="N573" s="57"/>
      <c r="O573" s="57"/>
      <c r="P573" s="3"/>
      <c r="Q573" s="3"/>
      <c r="R573" s="36" t="s">
        <v>702</v>
      </c>
      <c r="S573" s="10" t="s">
        <v>792</v>
      </c>
      <c r="T573" s="3"/>
      <c r="U573" s="3"/>
      <c r="V573" s="69" t="s">
        <v>786</v>
      </c>
    </row>
    <row r="574" s="2" customFormat="1" ht="15.75" spans="2:22">
      <c r="B574" s="56">
        <v>168</v>
      </c>
      <c r="C574" s="2">
        <v>573</v>
      </c>
      <c r="D574" s="10" t="s">
        <v>763</v>
      </c>
      <c r="E574" s="10">
        <v>290</v>
      </c>
      <c r="F574" s="10">
        <v>318</v>
      </c>
      <c r="G574" s="52">
        <v>2</v>
      </c>
      <c r="H574" s="24">
        <v>0</v>
      </c>
      <c r="I574" s="53"/>
      <c r="J574" s="57"/>
      <c r="K574" s="24">
        <v>0</v>
      </c>
      <c r="L574" s="10">
        <v>0</v>
      </c>
      <c r="M574" s="57"/>
      <c r="N574" s="57"/>
      <c r="O574" s="57"/>
      <c r="P574" s="3"/>
      <c r="Q574" s="3"/>
      <c r="R574" s="36" t="s">
        <v>702</v>
      </c>
      <c r="S574" s="10" t="s">
        <v>793</v>
      </c>
      <c r="T574" s="3"/>
      <c r="U574" s="3"/>
      <c r="V574" s="69" t="s">
        <v>786</v>
      </c>
    </row>
    <row r="575" s="2" customFormat="1" ht="15.75" spans="2:22">
      <c r="B575" s="56">
        <v>169</v>
      </c>
      <c r="C575" s="2">
        <v>574</v>
      </c>
      <c r="D575" s="10" t="s">
        <v>763</v>
      </c>
      <c r="E575" s="10">
        <v>290</v>
      </c>
      <c r="F575" s="10">
        <v>318</v>
      </c>
      <c r="G575" s="52">
        <v>3.8</v>
      </c>
      <c r="H575" s="24">
        <v>0</v>
      </c>
      <c r="I575" s="53"/>
      <c r="J575" s="57"/>
      <c r="K575" s="24">
        <v>0</v>
      </c>
      <c r="L575" s="10">
        <v>0</v>
      </c>
      <c r="M575" s="57"/>
      <c r="N575" s="57"/>
      <c r="O575" s="57"/>
      <c r="P575" s="3"/>
      <c r="Q575" s="3"/>
      <c r="R575" s="36" t="s">
        <v>702</v>
      </c>
      <c r="S575" s="10" t="s">
        <v>794</v>
      </c>
      <c r="T575" s="3"/>
      <c r="U575" s="3"/>
      <c r="V575" s="69" t="s">
        <v>786</v>
      </c>
    </row>
    <row r="576" s="2" customFormat="1" ht="15.75" spans="2:22">
      <c r="B576" s="56">
        <v>170</v>
      </c>
      <c r="C576" s="2">
        <v>575</v>
      </c>
      <c r="D576" s="10" t="s">
        <v>763</v>
      </c>
      <c r="E576" s="10">
        <v>275</v>
      </c>
      <c r="F576" s="10">
        <v>318</v>
      </c>
      <c r="G576" s="52">
        <v>5</v>
      </c>
      <c r="H576" s="24">
        <v>0</v>
      </c>
      <c r="I576" s="53"/>
      <c r="J576" s="57"/>
      <c r="K576" s="24">
        <v>0</v>
      </c>
      <c r="L576" s="10">
        <v>0</v>
      </c>
      <c r="M576" s="57"/>
      <c r="N576" s="57"/>
      <c r="O576" s="57"/>
      <c r="P576" s="3"/>
      <c r="Q576" s="3"/>
      <c r="R576" s="36" t="s">
        <v>702</v>
      </c>
      <c r="S576" s="10" t="s">
        <v>795</v>
      </c>
      <c r="T576" s="3"/>
      <c r="U576" s="3"/>
      <c r="V576" s="69" t="s">
        <v>786</v>
      </c>
    </row>
    <row r="577" s="2" customFormat="1" ht="15.75" spans="2:22">
      <c r="B577" s="56">
        <v>171</v>
      </c>
      <c r="C577" s="2">
        <v>576</v>
      </c>
      <c r="D577" s="10" t="s">
        <v>763</v>
      </c>
      <c r="E577" s="10">
        <v>260</v>
      </c>
      <c r="F577" s="10">
        <v>300</v>
      </c>
      <c r="G577" s="52">
        <v>1</v>
      </c>
      <c r="H577" s="24">
        <v>0</v>
      </c>
      <c r="I577" s="53"/>
      <c r="J577" s="57"/>
      <c r="K577" s="24">
        <v>0</v>
      </c>
      <c r="L577" s="10">
        <v>0</v>
      </c>
      <c r="M577" s="57"/>
      <c r="N577" s="57"/>
      <c r="O577" s="57"/>
      <c r="P577" s="3"/>
      <c r="Q577" s="3"/>
      <c r="R577" s="36" t="s">
        <v>702</v>
      </c>
      <c r="S577" s="10" t="s">
        <v>796</v>
      </c>
      <c r="T577" s="3"/>
      <c r="U577" s="3"/>
      <c r="V577" s="69" t="s">
        <v>786</v>
      </c>
    </row>
    <row r="578" s="2" customFormat="1" ht="15.75" spans="2:22">
      <c r="B578" s="56">
        <v>172</v>
      </c>
      <c r="C578" s="2">
        <v>577</v>
      </c>
      <c r="D578" s="10" t="s">
        <v>763</v>
      </c>
      <c r="E578" s="10">
        <v>250</v>
      </c>
      <c r="F578" s="10">
        <v>318</v>
      </c>
      <c r="G578" s="52">
        <v>1</v>
      </c>
      <c r="H578" s="24">
        <v>0</v>
      </c>
      <c r="I578" s="53"/>
      <c r="J578" s="57"/>
      <c r="K578" s="24">
        <v>0</v>
      </c>
      <c r="L578" s="10">
        <v>0</v>
      </c>
      <c r="M578" s="57"/>
      <c r="N578" s="57"/>
      <c r="O578" s="57"/>
      <c r="P578" s="3"/>
      <c r="Q578" s="3"/>
      <c r="R578" s="36" t="s">
        <v>702</v>
      </c>
      <c r="S578" s="10" t="s">
        <v>797</v>
      </c>
      <c r="T578" s="3"/>
      <c r="U578" s="3"/>
      <c r="V578" s="69" t="s">
        <v>786</v>
      </c>
    </row>
    <row r="579" s="2" customFormat="1" ht="15.75" spans="2:22">
      <c r="B579" s="56">
        <v>173</v>
      </c>
      <c r="C579" s="2">
        <v>578</v>
      </c>
      <c r="D579" s="10" t="s">
        <v>763</v>
      </c>
      <c r="E579" s="10">
        <v>250</v>
      </c>
      <c r="F579" s="10">
        <v>317</v>
      </c>
      <c r="G579" s="52">
        <v>2</v>
      </c>
      <c r="H579" s="24">
        <v>0</v>
      </c>
      <c r="I579" s="53"/>
      <c r="J579" s="57"/>
      <c r="K579" s="24">
        <v>0</v>
      </c>
      <c r="L579" s="10">
        <v>0</v>
      </c>
      <c r="M579" s="57"/>
      <c r="N579" s="57"/>
      <c r="O579" s="57"/>
      <c r="P579" s="3"/>
      <c r="Q579" s="3"/>
      <c r="R579" s="36" t="s">
        <v>702</v>
      </c>
      <c r="S579" s="10" t="s">
        <v>798</v>
      </c>
      <c r="T579" s="3"/>
      <c r="U579" s="3"/>
      <c r="V579" s="69" t="s">
        <v>786</v>
      </c>
    </row>
    <row r="580" s="2" customFormat="1" ht="15.75" spans="2:22">
      <c r="B580" s="56">
        <v>174</v>
      </c>
      <c r="C580" s="2">
        <v>579</v>
      </c>
      <c r="D580" s="10" t="s">
        <v>763</v>
      </c>
      <c r="E580" s="10">
        <v>250</v>
      </c>
      <c r="F580" s="10">
        <v>316</v>
      </c>
      <c r="G580" s="52">
        <v>3.9</v>
      </c>
      <c r="H580" s="24">
        <v>0</v>
      </c>
      <c r="I580" s="53"/>
      <c r="J580" s="57"/>
      <c r="K580" s="24">
        <v>0</v>
      </c>
      <c r="L580" s="10">
        <v>0</v>
      </c>
      <c r="M580" s="57"/>
      <c r="N580" s="57"/>
      <c r="O580" s="57"/>
      <c r="P580" s="3"/>
      <c r="Q580" s="3"/>
      <c r="R580" s="36" t="s">
        <v>702</v>
      </c>
      <c r="S580" s="10" t="s">
        <v>799</v>
      </c>
      <c r="T580" s="3"/>
      <c r="U580" s="3"/>
      <c r="V580" s="69" t="s">
        <v>786</v>
      </c>
    </row>
    <row r="581" s="2" customFormat="1" ht="15.75" spans="2:22">
      <c r="B581" s="56">
        <v>175</v>
      </c>
      <c r="C581" s="2">
        <v>580</v>
      </c>
      <c r="D581" s="10" t="s">
        <v>763</v>
      </c>
      <c r="E581" s="10">
        <v>225</v>
      </c>
      <c r="F581" s="10">
        <v>315</v>
      </c>
      <c r="G581" s="52">
        <v>8</v>
      </c>
      <c r="H581" s="24">
        <v>0</v>
      </c>
      <c r="I581" s="53"/>
      <c r="J581" s="57"/>
      <c r="K581" s="24">
        <v>0</v>
      </c>
      <c r="L581" s="10">
        <v>0</v>
      </c>
      <c r="M581" s="57"/>
      <c r="N581" s="57"/>
      <c r="O581" s="57"/>
      <c r="P581" s="3"/>
      <c r="Q581" s="3"/>
      <c r="R581" s="36" t="s">
        <v>702</v>
      </c>
      <c r="S581" s="10" t="s">
        <v>800</v>
      </c>
      <c r="T581" s="3"/>
      <c r="U581" s="3"/>
      <c r="V581" s="69" t="s">
        <v>786</v>
      </c>
    </row>
    <row r="582" s="2" customFormat="1" ht="15.75" spans="2:22">
      <c r="B582" s="56">
        <v>176</v>
      </c>
      <c r="C582" s="2">
        <v>581</v>
      </c>
      <c r="D582" s="10" t="s">
        <v>763</v>
      </c>
      <c r="E582" s="10">
        <v>225</v>
      </c>
      <c r="F582" s="10">
        <v>280</v>
      </c>
      <c r="G582" s="52">
        <v>1</v>
      </c>
      <c r="H582" s="24">
        <v>0</v>
      </c>
      <c r="I582" s="53"/>
      <c r="J582" s="57"/>
      <c r="K582" s="24">
        <v>0</v>
      </c>
      <c r="L582" s="10">
        <v>0</v>
      </c>
      <c r="M582" s="57"/>
      <c r="N582" s="57"/>
      <c r="O582" s="57"/>
      <c r="P582" s="3"/>
      <c r="Q582" s="3"/>
      <c r="R582" s="36" t="s">
        <v>702</v>
      </c>
      <c r="S582" s="10" t="s">
        <v>801</v>
      </c>
      <c r="T582" s="3"/>
      <c r="U582" s="3"/>
      <c r="V582" s="69" t="s">
        <v>786</v>
      </c>
    </row>
    <row r="583" s="2" customFormat="1" ht="15.75" spans="2:22">
      <c r="B583" s="56">
        <v>177</v>
      </c>
      <c r="C583" s="2">
        <v>582</v>
      </c>
      <c r="D583" s="10" t="s">
        <v>763</v>
      </c>
      <c r="E583" s="10">
        <v>225</v>
      </c>
      <c r="F583" s="10">
        <v>278</v>
      </c>
      <c r="G583" s="52">
        <v>1</v>
      </c>
      <c r="H583" s="24">
        <v>0</v>
      </c>
      <c r="I583" s="53"/>
      <c r="J583" s="57"/>
      <c r="K583" s="24">
        <v>0</v>
      </c>
      <c r="L583" s="10">
        <v>0</v>
      </c>
      <c r="M583" s="57"/>
      <c r="N583" s="57"/>
      <c r="O583" s="57"/>
      <c r="P583" s="3"/>
      <c r="Q583" s="3"/>
      <c r="R583" s="36" t="s">
        <v>702</v>
      </c>
      <c r="S583" s="10" t="s">
        <v>802</v>
      </c>
      <c r="T583" s="3"/>
      <c r="U583" s="3"/>
      <c r="V583" s="69" t="s">
        <v>786</v>
      </c>
    </row>
    <row r="584" s="2" customFormat="1" ht="15.75" spans="2:22">
      <c r="B584" s="56">
        <v>178</v>
      </c>
      <c r="C584" s="2">
        <v>583</v>
      </c>
      <c r="D584" s="10" t="s">
        <v>763</v>
      </c>
      <c r="E584" s="10">
        <v>223</v>
      </c>
      <c r="F584" s="10">
        <v>275</v>
      </c>
      <c r="G584" s="52">
        <v>2</v>
      </c>
      <c r="H584" s="24">
        <v>0</v>
      </c>
      <c r="I584" s="53"/>
      <c r="J584" s="57"/>
      <c r="K584" s="24">
        <v>0</v>
      </c>
      <c r="L584" s="10">
        <v>0</v>
      </c>
      <c r="M584" s="57"/>
      <c r="N584" s="57"/>
      <c r="O584" s="57"/>
      <c r="P584" s="3"/>
      <c r="Q584" s="3"/>
      <c r="R584" s="36" t="s">
        <v>702</v>
      </c>
      <c r="S584" s="10" t="s">
        <v>803</v>
      </c>
      <c r="T584" s="3"/>
      <c r="U584" s="3"/>
      <c r="V584" s="69" t="s">
        <v>786</v>
      </c>
    </row>
    <row r="585" s="2" customFormat="1" ht="15.75" spans="2:22">
      <c r="B585" s="56">
        <v>179</v>
      </c>
      <c r="C585" s="2">
        <v>584</v>
      </c>
      <c r="D585" s="10" t="s">
        <v>763</v>
      </c>
      <c r="E585" s="10">
        <v>223</v>
      </c>
      <c r="F585" s="10">
        <v>275</v>
      </c>
      <c r="G585" s="52">
        <v>3.6</v>
      </c>
      <c r="H585" s="24">
        <v>0</v>
      </c>
      <c r="I585" s="53"/>
      <c r="J585" s="57"/>
      <c r="K585" s="24">
        <v>0</v>
      </c>
      <c r="L585" s="10">
        <v>0</v>
      </c>
      <c r="M585" s="57"/>
      <c r="N585" s="57"/>
      <c r="O585" s="57"/>
      <c r="P585" s="3"/>
      <c r="Q585" s="3"/>
      <c r="R585" s="36" t="s">
        <v>702</v>
      </c>
      <c r="S585" s="10" t="s">
        <v>804</v>
      </c>
      <c r="T585" s="3"/>
      <c r="U585" s="3"/>
      <c r="V585" s="69" t="s">
        <v>786</v>
      </c>
    </row>
    <row r="586" s="2" customFormat="1" ht="15.75" spans="2:22">
      <c r="B586" s="56">
        <v>180</v>
      </c>
      <c r="C586" s="2">
        <v>585</v>
      </c>
      <c r="D586" s="10" t="s">
        <v>763</v>
      </c>
      <c r="E586" s="10">
        <v>200</v>
      </c>
      <c r="F586" s="10">
        <v>275</v>
      </c>
      <c r="G586" s="52">
        <v>9</v>
      </c>
      <c r="H586" s="24">
        <v>0</v>
      </c>
      <c r="I586" s="53"/>
      <c r="J586" s="57"/>
      <c r="K586" s="24">
        <v>0</v>
      </c>
      <c r="L586" s="10">
        <v>0</v>
      </c>
      <c r="M586" s="57"/>
      <c r="N586" s="57"/>
      <c r="O586" s="57"/>
      <c r="P586" s="3"/>
      <c r="Q586" s="3"/>
      <c r="R586" s="36" t="s">
        <v>702</v>
      </c>
      <c r="S586" s="10" t="s">
        <v>805</v>
      </c>
      <c r="T586" s="3"/>
      <c r="U586" s="3"/>
      <c r="V586" s="69" t="s">
        <v>786</v>
      </c>
    </row>
    <row r="587" s="2" customFormat="1" ht="15.75" spans="2:22">
      <c r="B587" s="56">
        <v>181</v>
      </c>
      <c r="C587" s="2">
        <v>586</v>
      </c>
      <c r="D587" s="10" t="s">
        <v>763</v>
      </c>
      <c r="E587" s="10">
        <v>200</v>
      </c>
      <c r="F587" s="10">
        <v>275</v>
      </c>
      <c r="G587" s="52">
        <v>1</v>
      </c>
      <c r="H587" s="24">
        <v>0</v>
      </c>
      <c r="I587" s="53"/>
      <c r="J587" s="57"/>
      <c r="K587" s="24">
        <v>0</v>
      </c>
      <c r="L587" s="10">
        <v>0</v>
      </c>
      <c r="M587" s="57"/>
      <c r="N587" s="57"/>
      <c r="O587" s="57"/>
      <c r="P587" s="3"/>
      <c r="Q587" s="3"/>
      <c r="R587" s="36" t="s">
        <v>702</v>
      </c>
      <c r="S587" s="10" t="s">
        <v>806</v>
      </c>
      <c r="T587" s="3"/>
      <c r="U587" s="3"/>
      <c r="V587" s="69" t="s">
        <v>786</v>
      </c>
    </row>
    <row r="588" s="2" customFormat="1" ht="15.75" spans="2:22">
      <c r="B588" s="56">
        <v>182</v>
      </c>
      <c r="C588" s="2">
        <v>587</v>
      </c>
      <c r="D588" s="10" t="s">
        <v>763</v>
      </c>
      <c r="E588" s="10">
        <v>190</v>
      </c>
      <c r="F588" s="10">
        <v>275</v>
      </c>
      <c r="G588" s="52">
        <v>1</v>
      </c>
      <c r="H588" s="24">
        <v>0</v>
      </c>
      <c r="I588" s="53"/>
      <c r="J588" s="57"/>
      <c r="K588" s="24">
        <v>0</v>
      </c>
      <c r="L588" s="10">
        <v>0</v>
      </c>
      <c r="M588" s="57"/>
      <c r="N588" s="57"/>
      <c r="O588" s="57"/>
      <c r="P588" s="3"/>
      <c r="Q588" s="3"/>
      <c r="R588" s="36" t="s">
        <v>702</v>
      </c>
      <c r="S588" s="10" t="s">
        <v>807</v>
      </c>
      <c r="T588" s="3"/>
      <c r="U588" s="3"/>
      <c r="V588" s="69" t="s">
        <v>786</v>
      </c>
    </row>
    <row r="589" s="2" customFormat="1" ht="15.75" spans="2:22">
      <c r="B589" s="56">
        <v>183</v>
      </c>
      <c r="C589" s="2">
        <v>588</v>
      </c>
      <c r="D589" s="10" t="s">
        <v>763</v>
      </c>
      <c r="E589" s="10">
        <v>180</v>
      </c>
      <c r="F589" s="10">
        <v>274</v>
      </c>
      <c r="G589" s="52">
        <v>2</v>
      </c>
      <c r="H589" s="24">
        <v>0</v>
      </c>
      <c r="I589" s="53"/>
      <c r="J589" s="57"/>
      <c r="K589" s="24">
        <v>0</v>
      </c>
      <c r="L589" s="10">
        <v>0</v>
      </c>
      <c r="M589" s="57"/>
      <c r="N589" s="57"/>
      <c r="O589" s="57"/>
      <c r="P589" s="3"/>
      <c r="Q589" s="3"/>
      <c r="R589" s="36" t="s">
        <v>702</v>
      </c>
      <c r="S589" s="10" t="s">
        <v>808</v>
      </c>
      <c r="T589" s="3"/>
      <c r="U589" s="3"/>
      <c r="V589" s="69" t="s">
        <v>786</v>
      </c>
    </row>
    <row r="590" s="2" customFormat="1" ht="15.75" spans="2:22">
      <c r="B590" s="56">
        <v>184</v>
      </c>
      <c r="C590" s="2">
        <v>589</v>
      </c>
      <c r="D590" s="10" t="s">
        <v>763</v>
      </c>
      <c r="E590" s="10">
        <v>175</v>
      </c>
      <c r="F590" s="10">
        <v>273</v>
      </c>
      <c r="G590" s="52">
        <v>3.5</v>
      </c>
      <c r="H590" s="24">
        <v>0</v>
      </c>
      <c r="I590" s="53"/>
      <c r="J590" s="57"/>
      <c r="K590" s="24">
        <v>0</v>
      </c>
      <c r="L590" s="10">
        <v>0</v>
      </c>
      <c r="M590" s="57"/>
      <c r="N590" s="57"/>
      <c r="O590" s="57"/>
      <c r="P590" s="3"/>
      <c r="Q590" s="3"/>
      <c r="R590" s="36" t="s">
        <v>702</v>
      </c>
      <c r="S590" s="10" t="s">
        <v>809</v>
      </c>
      <c r="T590" s="3"/>
      <c r="U590" s="3"/>
      <c r="V590" s="69" t="s">
        <v>786</v>
      </c>
    </row>
    <row r="591" s="2" customFormat="1" ht="15.75" spans="2:22">
      <c r="B591" s="56">
        <v>185</v>
      </c>
      <c r="C591" s="2">
        <v>590</v>
      </c>
      <c r="D591" s="10" t="s">
        <v>763</v>
      </c>
      <c r="E591" s="10">
        <v>170</v>
      </c>
      <c r="F591" s="10">
        <v>272</v>
      </c>
      <c r="G591" s="52">
        <v>10</v>
      </c>
      <c r="H591" s="24">
        <v>0</v>
      </c>
      <c r="I591" s="53"/>
      <c r="J591" s="57"/>
      <c r="K591" s="24">
        <v>0</v>
      </c>
      <c r="L591" s="10">
        <v>0</v>
      </c>
      <c r="M591" s="57"/>
      <c r="N591" s="57"/>
      <c r="O591" s="57"/>
      <c r="P591" s="3"/>
      <c r="Q591" s="3"/>
      <c r="R591" s="36" t="s">
        <v>702</v>
      </c>
      <c r="S591" s="10" t="s">
        <v>810</v>
      </c>
      <c r="T591" s="3"/>
      <c r="U591" s="3"/>
      <c r="V591" s="59" t="s">
        <v>786</v>
      </c>
    </row>
    <row r="592" s="2" customFormat="1" ht="15.75" spans="2:22">
      <c r="B592" s="56">
        <v>186</v>
      </c>
      <c r="C592" s="2">
        <v>591</v>
      </c>
      <c r="D592" s="10" t="s">
        <v>649</v>
      </c>
      <c r="E592" s="10">
        <v>313</v>
      </c>
      <c r="F592" s="10">
        <v>336</v>
      </c>
      <c r="G592" s="52">
        <v>0.9</v>
      </c>
      <c r="H592" s="24">
        <v>0</v>
      </c>
      <c r="I592" s="53"/>
      <c r="J592" s="57"/>
      <c r="K592" s="24">
        <v>0</v>
      </c>
      <c r="L592" s="10">
        <v>0</v>
      </c>
      <c r="M592" s="57"/>
      <c r="N592" s="57"/>
      <c r="O592" s="57"/>
      <c r="P592" s="3"/>
      <c r="Q592" s="3"/>
      <c r="R592" s="36" t="s">
        <v>702</v>
      </c>
      <c r="S592" s="10" t="s">
        <v>766</v>
      </c>
      <c r="T592" s="3"/>
      <c r="U592" s="3"/>
      <c r="V592" s="69" t="s">
        <v>786</v>
      </c>
    </row>
    <row r="593" s="2" customFormat="1" ht="15.75" spans="2:22">
      <c r="B593" s="56">
        <v>187</v>
      </c>
      <c r="C593" s="2">
        <v>592</v>
      </c>
      <c r="D593" s="10" t="s">
        <v>649</v>
      </c>
      <c r="E593" s="10">
        <v>298</v>
      </c>
      <c r="F593" s="10">
        <v>378</v>
      </c>
      <c r="G593" s="52">
        <v>0.9</v>
      </c>
      <c r="H593" s="24">
        <v>0</v>
      </c>
      <c r="I593" s="53"/>
      <c r="J593" s="57"/>
      <c r="K593" s="24">
        <v>0</v>
      </c>
      <c r="L593" s="10">
        <v>0</v>
      </c>
      <c r="M593" s="57"/>
      <c r="N593" s="57"/>
      <c r="O593" s="57"/>
      <c r="P593" s="3"/>
      <c r="Q593" s="3"/>
      <c r="R593" s="36" t="s">
        <v>702</v>
      </c>
      <c r="S593" s="10" t="s">
        <v>766</v>
      </c>
      <c r="T593" s="3"/>
      <c r="U593" s="3"/>
      <c r="V593" s="60" t="s">
        <v>811</v>
      </c>
    </row>
    <row r="594" s="2" customFormat="1" ht="15.75" spans="2:22">
      <c r="B594" s="56">
        <v>188</v>
      </c>
      <c r="C594" s="2">
        <v>593</v>
      </c>
      <c r="D594" s="10" t="s">
        <v>812</v>
      </c>
      <c r="E594" s="10">
        <v>150</v>
      </c>
      <c r="F594" s="10">
        <v>270</v>
      </c>
      <c r="G594" s="52">
        <v>16.9</v>
      </c>
      <c r="H594" s="24">
        <v>0</v>
      </c>
      <c r="I594" s="53"/>
      <c r="J594" s="57"/>
      <c r="K594" s="24">
        <v>0</v>
      </c>
      <c r="L594" s="10">
        <v>0</v>
      </c>
      <c r="M594" s="57"/>
      <c r="N594" s="57"/>
      <c r="O594" s="57"/>
      <c r="P594" s="3"/>
      <c r="Q594" s="3"/>
      <c r="R594" s="36" t="s">
        <v>702</v>
      </c>
      <c r="S594" s="10" t="s">
        <v>766</v>
      </c>
      <c r="T594" s="3"/>
      <c r="U594" s="3"/>
      <c r="V594" s="60" t="s">
        <v>811</v>
      </c>
    </row>
    <row r="595" s="2" customFormat="1" ht="15.75" spans="2:22">
      <c r="B595" s="56">
        <v>189</v>
      </c>
      <c r="C595" s="2">
        <v>594</v>
      </c>
      <c r="D595" s="10" t="s">
        <v>812</v>
      </c>
      <c r="E595" s="10">
        <v>243</v>
      </c>
      <c r="F595" s="10">
        <v>324</v>
      </c>
      <c r="G595" s="52">
        <v>2</v>
      </c>
      <c r="H595" s="24">
        <v>0</v>
      </c>
      <c r="I595" s="53"/>
      <c r="J595" s="57"/>
      <c r="K595" s="24">
        <v>0</v>
      </c>
      <c r="L595" s="10">
        <v>0</v>
      </c>
      <c r="M595" s="57"/>
      <c r="N595" s="57"/>
      <c r="O595" s="57"/>
      <c r="P595" s="3"/>
      <c r="Q595" s="3"/>
      <c r="R595" s="36" t="s">
        <v>702</v>
      </c>
      <c r="S595" s="10" t="s">
        <v>813</v>
      </c>
      <c r="T595" s="3"/>
      <c r="U595" s="3"/>
      <c r="V595" s="60" t="s">
        <v>811</v>
      </c>
    </row>
    <row r="596" s="2" customFormat="1" ht="15.75" spans="2:22">
      <c r="B596" s="56">
        <v>190</v>
      </c>
      <c r="C596" s="2">
        <v>595</v>
      </c>
      <c r="D596" s="10" t="s">
        <v>812</v>
      </c>
      <c r="E596" s="10">
        <v>185</v>
      </c>
      <c r="F596" s="10">
        <v>252</v>
      </c>
      <c r="G596" s="52">
        <v>0.64</v>
      </c>
      <c r="H596" s="24">
        <v>0</v>
      </c>
      <c r="I596" s="53"/>
      <c r="J596" s="57"/>
      <c r="K596" s="24">
        <v>0</v>
      </c>
      <c r="L596" s="10">
        <v>0</v>
      </c>
      <c r="M596" s="57"/>
      <c r="N596" s="57"/>
      <c r="O596" s="57"/>
      <c r="P596" s="3"/>
      <c r="Q596" s="3"/>
      <c r="R596" s="10" t="s">
        <v>814</v>
      </c>
      <c r="S596" s="10" t="s">
        <v>815</v>
      </c>
      <c r="T596" s="3"/>
      <c r="U596" s="3"/>
      <c r="V596" s="71" t="s">
        <v>816</v>
      </c>
    </row>
    <row r="597" s="2" customFormat="1" ht="15.75" spans="2:22">
      <c r="B597" s="56">
        <v>191</v>
      </c>
      <c r="C597" s="2">
        <v>596</v>
      </c>
      <c r="D597" s="10" t="s">
        <v>817</v>
      </c>
      <c r="E597" s="10"/>
      <c r="F597" s="10">
        <v>300</v>
      </c>
      <c r="G597" s="52">
        <v>4.8</v>
      </c>
      <c r="H597" s="24">
        <v>0</v>
      </c>
      <c r="I597" s="53"/>
      <c r="J597" s="57"/>
      <c r="K597" s="24">
        <v>0</v>
      </c>
      <c r="L597" s="10">
        <v>0</v>
      </c>
      <c r="M597" s="57"/>
      <c r="N597" s="57"/>
      <c r="O597" s="57"/>
      <c r="P597" s="3"/>
      <c r="Q597" s="3"/>
      <c r="R597" s="58" t="s">
        <v>63</v>
      </c>
      <c r="S597" s="10" t="s">
        <v>711</v>
      </c>
      <c r="T597" s="3"/>
      <c r="U597" s="3"/>
      <c r="V597" s="71" t="s">
        <v>816</v>
      </c>
    </row>
    <row r="598" s="2" customFormat="1" ht="15.75" spans="2:22">
      <c r="B598" s="56">
        <v>192</v>
      </c>
      <c r="C598" s="2">
        <v>597</v>
      </c>
      <c r="D598" s="10" t="s">
        <v>817</v>
      </c>
      <c r="E598" s="10"/>
      <c r="F598" s="10">
        <v>300</v>
      </c>
      <c r="G598" s="52">
        <v>7</v>
      </c>
      <c r="H598" s="24">
        <v>0</v>
      </c>
      <c r="I598" s="53"/>
      <c r="J598" s="57"/>
      <c r="K598" s="24">
        <v>0</v>
      </c>
      <c r="L598" s="10">
        <v>0</v>
      </c>
      <c r="M598" s="57"/>
      <c r="N598" s="57"/>
      <c r="O598" s="57"/>
      <c r="P598" s="3"/>
      <c r="Q598" s="3"/>
      <c r="R598" s="58" t="s">
        <v>63</v>
      </c>
      <c r="S598" s="10" t="s">
        <v>818</v>
      </c>
      <c r="T598" s="3"/>
      <c r="U598" s="3"/>
      <c r="V598" s="71" t="s">
        <v>816</v>
      </c>
    </row>
    <row r="599" s="2" customFormat="1" ht="15.75" spans="2:22">
      <c r="B599" s="56">
        <v>193</v>
      </c>
      <c r="C599" s="2">
        <v>598</v>
      </c>
      <c r="D599" s="10" t="s">
        <v>817</v>
      </c>
      <c r="E599" s="10"/>
      <c r="F599" s="10">
        <v>295</v>
      </c>
      <c r="G599" s="52">
        <v>14</v>
      </c>
      <c r="H599" s="24">
        <v>0</v>
      </c>
      <c r="I599" s="53"/>
      <c r="J599" s="57"/>
      <c r="K599" s="24">
        <v>0</v>
      </c>
      <c r="L599" s="10">
        <v>0</v>
      </c>
      <c r="M599" s="57"/>
      <c r="N599" s="57"/>
      <c r="O599" s="57"/>
      <c r="P599" s="3"/>
      <c r="Q599" s="3"/>
      <c r="R599" s="58" t="s">
        <v>63</v>
      </c>
      <c r="S599" s="10" t="s">
        <v>819</v>
      </c>
      <c r="T599" s="3"/>
      <c r="U599" s="3"/>
      <c r="V599" s="71" t="s">
        <v>816</v>
      </c>
    </row>
    <row r="600" s="2" customFormat="1" ht="15.75" spans="2:22">
      <c r="B600" s="56">
        <v>194</v>
      </c>
      <c r="C600" s="2">
        <v>599</v>
      </c>
      <c r="D600" s="10" t="s">
        <v>817</v>
      </c>
      <c r="E600" s="10"/>
      <c r="F600" s="10">
        <v>290</v>
      </c>
      <c r="G600" s="52">
        <v>5</v>
      </c>
      <c r="H600" s="24">
        <v>0</v>
      </c>
      <c r="I600" s="53"/>
      <c r="J600" s="57"/>
      <c r="K600" s="24">
        <v>0</v>
      </c>
      <c r="L600" s="10">
        <v>0</v>
      </c>
      <c r="M600" s="57"/>
      <c r="N600" s="57"/>
      <c r="O600" s="57"/>
      <c r="P600" s="3"/>
      <c r="Q600" s="3"/>
      <c r="R600" s="58" t="s">
        <v>63</v>
      </c>
      <c r="S600" s="10"/>
      <c r="T600" s="3"/>
      <c r="U600" s="3"/>
      <c r="V600" s="71" t="s">
        <v>816</v>
      </c>
    </row>
    <row r="601" s="2" customFormat="1" ht="15.75" spans="2:22">
      <c r="B601" s="56">
        <v>195</v>
      </c>
      <c r="C601" s="2">
        <v>600</v>
      </c>
      <c r="D601" s="10" t="s">
        <v>817</v>
      </c>
      <c r="E601" s="10"/>
      <c r="F601" s="10">
        <v>320</v>
      </c>
      <c r="G601" s="52">
        <v>6</v>
      </c>
      <c r="H601" s="24">
        <v>0</v>
      </c>
      <c r="I601" s="53"/>
      <c r="J601" s="57"/>
      <c r="K601" s="24">
        <v>0</v>
      </c>
      <c r="L601" s="10">
        <v>0</v>
      </c>
      <c r="M601" s="57"/>
      <c r="N601" s="57"/>
      <c r="O601" s="57"/>
      <c r="P601" s="3"/>
      <c r="Q601" s="3"/>
      <c r="R601" s="58" t="s">
        <v>63</v>
      </c>
      <c r="S601" s="10"/>
      <c r="T601" s="3"/>
      <c r="U601" s="3"/>
      <c r="V601" s="71" t="s">
        <v>816</v>
      </c>
    </row>
    <row r="602" s="2" customFormat="1" ht="15.75" spans="2:22">
      <c r="B602" s="56">
        <v>196</v>
      </c>
      <c r="C602" s="2">
        <v>601</v>
      </c>
      <c r="D602" s="10" t="s">
        <v>817</v>
      </c>
      <c r="E602" s="10"/>
      <c r="F602" s="10">
        <v>280</v>
      </c>
      <c r="G602" s="52">
        <v>18</v>
      </c>
      <c r="H602" s="24">
        <v>0</v>
      </c>
      <c r="I602" s="53"/>
      <c r="J602" s="57"/>
      <c r="K602" s="24">
        <v>0</v>
      </c>
      <c r="L602" s="10">
        <v>0</v>
      </c>
      <c r="M602" s="57"/>
      <c r="N602" s="57"/>
      <c r="O602" s="57"/>
      <c r="P602" s="3"/>
      <c r="Q602" s="3"/>
      <c r="R602" s="58" t="s">
        <v>63</v>
      </c>
      <c r="S602" s="10"/>
      <c r="T602" s="3"/>
      <c r="U602" s="3"/>
      <c r="V602" s="71" t="s">
        <v>816</v>
      </c>
    </row>
    <row r="603" s="2" customFormat="1" ht="15.75" spans="2:22">
      <c r="B603" s="56">
        <v>197</v>
      </c>
      <c r="C603" s="2">
        <v>602</v>
      </c>
      <c r="D603" s="10" t="s">
        <v>817</v>
      </c>
      <c r="E603" s="10"/>
      <c r="F603" s="10">
        <v>300</v>
      </c>
      <c r="G603" s="52">
        <v>6</v>
      </c>
      <c r="H603" s="24">
        <v>0</v>
      </c>
      <c r="I603" s="53"/>
      <c r="J603" s="57"/>
      <c r="K603" s="24">
        <v>0</v>
      </c>
      <c r="L603" s="10">
        <v>0</v>
      </c>
      <c r="M603" s="57"/>
      <c r="N603" s="57"/>
      <c r="O603" s="57"/>
      <c r="P603" s="3"/>
      <c r="Q603" s="3"/>
      <c r="R603" s="58" t="s">
        <v>63</v>
      </c>
      <c r="S603" s="10"/>
      <c r="T603" s="3"/>
      <c r="U603" s="3"/>
      <c r="V603" s="71" t="s">
        <v>816</v>
      </c>
    </row>
    <row r="604" s="2" customFormat="1" ht="15.75" spans="2:22">
      <c r="B604" s="56">
        <v>198</v>
      </c>
      <c r="C604" s="2">
        <v>603</v>
      </c>
      <c r="D604" s="10" t="s">
        <v>817</v>
      </c>
      <c r="E604" s="10"/>
      <c r="F604" s="10">
        <v>300</v>
      </c>
      <c r="G604" s="52">
        <v>7.5</v>
      </c>
      <c r="H604" s="24">
        <v>0</v>
      </c>
      <c r="I604" s="53"/>
      <c r="J604" s="57"/>
      <c r="K604" s="24">
        <v>0</v>
      </c>
      <c r="L604" s="10">
        <v>0</v>
      </c>
      <c r="M604" s="57"/>
      <c r="N604" s="57"/>
      <c r="O604" s="57"/>
      <c r="P604" s="3"/>
      <c r="Q604" s="3"/>
      <c r="R604" s="58" t="s">
        <v>63</v>
      </c>
      <c r="S604" s="10"/>
      <c r="T604" s="3"/>
      <c r="U604" s="3"/>
      <c r="V604" s="71" t="s">
        <v>816</v>
      </c>
    </row>
    <row r="605" s="2" customFormat="1" ht="15.75" spans="2:22">
      <c r="B605" s="56">
        <v>199</v>
      </c>
      <c r="C605" s="2">
        <v>604</v>
      </c>
      <c r="D605" s="10" t="s">
        <v>817</v>
      </c>
      <c r="E605" s="10"/>
      <c r="F605" s="10">
        <v>260</v>
      </c>
      <c r="G605" s="52">
        <v>20.5</v>
      </c>
      <c r="H605" s="24">
        <v>0</v>
      </c>
      <c r="I605" s="53"/>
      <c r="J605" s="57"/>
      <c r="K605" s="24">
        <v>0</v>
      </c>
      <c r="L605" s="10">
        <v>0</v>
      </c>
      <c r="M605" s="57"/>
      <c r="N605" s="57"/>
      <c r="O605" s="57"/>
      <c r="P605" s="3"/>
      <c r="Q605" s="3"/>
      <c r="R605" s="58" t="s">
        <v>63</v>
      </c>
      <c r="S605" s="10"/>
      <c r="T605" s="3"/>
      <c r="U605" s="3"/>
      <c r="V605" s="71" t="s">
        <v>816</v>
      </c>
    </row>
    <row r="606" s="2" customFormat="1" ht="15.75" spans="2:22">
      <c r="B606" s="56">
        <v>200</v>
      </c>
      <c r="C606" s="2">
        <v>605</v>
      </c>
      <c r="D606" s="10" t="s">
        <v>649</v>
      </c>
      <c r="E606" s="10">
        <v>161.2</v>
      </c>
      <c r="F606" s="10">
        <v>332</v>
      </c>
      <c r="G606" s="52">
        <v>12</v>
      </c>
      <c r="H606" s="24">
        <v>0</v>
      </c>
      <c r="I606" s="53"/>
      <c r="J606" s="57"/>
      <c r="K606" s="24">
        <v>0</v>
      </c>
      <c r="L606" s="10">
        <v>0</v>
      </c>
      <c r="M606" s="57"/>
      <c r="N606" s="57"/>
      <c r="O606" s="57"/>
      <c r="P606" s="3"/>
      <c r="Q606" s="3"/>
      <c r="R606" s="58" t="s">
        <v>63</v>
      </c>
      <c r="S606" s="10" t="s">
        <v>820</v>
      </c>
      <c r="T606" s="3"/>
      <c r="U606" s="3"/>
      <c r="V606" s="72" t="s">
        <v>821</v>
      </c>
    </row>
    <row r="607" s="2" customFormat="1" ht="15.75" spans="2:22">
      <c r="B607" s="56">
        <v>201</v>
      </c>
      <c r="C607" s="2">
        <v>606</v>
      </c>
      <c r="D607" s="10" t="s">
        <v>649</v>
      </c>
      <c r="E607" s="10">
        <v>147.7</v>
      </c>
      <c r="F607" s="10">
        <v>322.8</v>
      </c>
      <c r="G607" s="52">
        <v>12</v>
      </c>
      <c r="H607" s="24">
        <v>0</v>
      </c>
      <c r="I607" s="53"/>
      <c r="J607" s="57"/>
      <c r="K607" s="24">
        <v>0</v>
      </c>
      <c r="L607" s="10">
        <v>0</v>
      </c>
      <c r="M607" s="57"/>
      <c r="N607" s="57"/>
      <c r="O607" s="57"/>
      <c r="P607" s="3"/>
      <c r="Q607" s="3"/>
      <c r="R607" s="58" t="s">
        <v>63</v>
      </c>
      <c r="S607" s="10" t="s">
        <v>822</v>
      </c>
      <c r="T607" s="3"/>
      <c r="U607" s="3"/>
      <c r="V607" s="72" t="s">
        <v>821</v>
      </c>
    </row>
    <row r="608" s="2" customFormat="1" ht="15.75" spans="2:22">
      <c r="B608" s="56">
        <v>202</v>
      </c>
      <c r="C608" s="2">
        <v>607</v>
      </c>
      <c r="D608" s="10" t="s">
        <v>649</v>
      </c>
      <c r="E608" s="10">
        <v>168.6</v>
      </c>
      <c r="F608" s="10">
        <v>331</v>
      </c>
      <c r="G608" s="52">
        <v>12</v>
      </c>
      <c r="H608" s="24">
        <v>0</v>
      </c>
      <c r="I608" s="53"/>
      <c r="J608" s="57"/>
      <c r="K608" s="24">
        <v>0</v>
      </c>
      <c r="L608" s="10">
        <v>0</v>
      </c>
      <c r="M608" s="57"/>
      <c r="N608" s="57"/>
      <c r="O608" s="57"/>
      <c r="P608" s="3"/>
      <c r="Q608" s="3"/>
      <c r="R608" s="58" t="s">
        <v>63</v>
      </c>
      <c r="S608" s="10" t="s">
        <v>823</v>
      </c>
      <c r="T608" s="3"/>
      <c r="U608" s="3"/>
      <c r="V608" s="72" t="s">
        <v>821</v>
      </c>
    </row>
    <row r="609" s="2" customFormat="1" ht="15.75" spans="2:22">
      <c r="B609" s="56">
        <v>203</v>
      </c>
      <c r="C609" s="2">
        <v>608</v>
      </c>
      <c r="D609" s="10" t="s">
        <v>649</v>
      </c>
      <c r="E609" s="10">
        <v>149.5</v>
      </c>
      <c r="F609" s="10">
        <v>315.4</v>
      </c>
      <c r="G609" s="52">
        <v>50</v>
      </c>
      <c r="H609" s="24">
        <v>0</v>
      </c>
      <c r="I609" s="53"/>
      <c r="J609" s="57"/>
      <c r="K609" s="24">
        <v>0</v>
      </c>
      <c r="L609" s="10">
        <v>0</v>
      </c>
      <c r="M609" s="57"/>
      <c r="N609" s="57"/>
      <c r="O609" s="57"/>
      <c r="P609" s="3"/>
      <c r="Q609" s="3"/>
      <c r="R609" s="58" t="s">
        <v>63</v>
      </c>
      <c r="S609" s="10" t="s">
        <v>824</v>
      </c>
      <c r="T609" s="3"/>
      <c r="U609" s="3"/>
      <c r="V609" s="72" t="s">
        <v>821</v>
      </c>
    </row>
    <row r="610" s="2" customFormat="1" ht="15.75" spans="2:22">
      <c r="B610" s="56">
        <v>204</v>
      </c>
      <c r="C610" s="2">
        <v>609</v>
      </c>
      <c r="D610" s="10" t="s">
        <v>649</v>
      </c>
      <c r="E610" s="10">
        <v>124.7</v>
      </c>
      <c r="F610" s="10">
        <v>326.4</v>
      </c>
      <c r="G610" s="52">
        <v>50</v>
      </c>
      <c r="H610" s="24">
        <v>0</v>
      </c>
      <c r="I610" s="53"/>
      <c r="J610" s="57"/>
      <c r="K610" s="24">
        <v>0</v>
      </c>
      <c r="L610" s="10">
        <v>0</v>
      </c>
      <c r="M610" s="57"/>
      <c r="N610" s="57"/>
      <c r="O610" s="57"/>
      <c r="P610" s="3"/>
      <c r="Q610" s="3"/>
      <c r="R610" s="58" t="s">
        <v>63</v>
      </c>
      <c r="S610" s="10" t="s">
        <v>825</v>
      </c>
      <c r="T610" s="3"/>
      <c r="U610" s="3"/>
      <c r="V610" s="72" t="s">
        <v>821</v>
      </c>
    </row>
    <row r="611" s="2" customFormat="1" ht="15.75" spans="2:22">
      <c r="B611" s="56">
        <v>205</v>
      </c>
      <c r="C611" s="2">
        <v>610</v>
      </c>
      <c r="D611" s="10" t="s">
        <v>649</v>
      </c>
      <c r="E611" s="10">
        <v>135.7</v>
      </c>
      <c r="F611" s="10">
        <v>344.3</v>
      </c>
      <c r="G611" s="52">
        <v>50</v>
      </c>
      <c r="H611" s="24">
        <v>0</v>
      </c>
      <c r="I611" s="53"/>
      <c r="J611" s="57"/>
      <c r="K611" s="24">
        <v>0</v>
      </c>
      <c r="L611" s="10">
        <v>0</v>
      </c>
      <c r="M611" s="57"/>
      <c r="N611" s="57"/>
      <c r="O611" s="57"/>
      <c r="P611" s="3"/>
      <c r="Q611" s="3"/>
      <c r="R611" s="58" t="s">
        <v>63</v>
      </c>
      <c r="S611" s="10" t="s">
        <v>826</v>
      </c>
      <c r="T611" s="3"/>
      <c r="U611" s="3"/>
      <c r="V611" s="72" t="s">
        <v>821</v>
      </c>
    </row>
    <row r="612" s="2" customFormat="1" ht="15.75" spans="2:22">
      <c r="B612" s="56">
        <v>206</v>
      </c>
      <c r="C612" s="2">
        <v>611</v>
      </c>
      <c r="D612" s="10" t="s">
        <v>649</v>
      </c>
      <c r="E612" s="10">
        <v>179.9</v>
      </c>
      <c r="F612" s="10">
        <v>352.8</v>
      </c>
      <c r="G612" s="52">
        <v>10</v>
      </c>
      <c r="H612" s="24">
        <v>0</v>
      </c>
      <c r="I612" s="53"/>
      <c r="J612" s="57"/>
      <c r="K612" s="24">
        <v>0</v>
      </c>
      <c r="L612" s="10">
        <v>0</v>
      </c>
      <c r="M612" s="57"/>
      <c r="N612" s="57"/>
      <c r="O612" s="57"/>
      <c r="P612" s="3"/>
      <c r="Q612" s="3"/>
      <c r="R612" s="58" t="s">
        <v>63</v>
      </c>
      <c r="S612" s="10" t="s">
        <v>827</v>
      </c>
      <c r="T612" s="3"/>
      <c r="U612" s="3"/>
      <c r="V612" s="72" t="s">
        <v>821</v>
      </c>
    </row>
    <row r="613" s="2" customFormat="1" ht="15.75" spans="2:22">
      <c r="B613" s="56">
        <v>207</v>
      </c>
      <c r="C613" s="2">
        <v>612</v>
      </c>
      <c r="D613" s="10" t="s">
        <v>649</v>
      </c>
      <c r="E613" s="10">
        <v>198.3</v>
      </c>
      <c r="F613" s="10">
        <v>364.3</v>
      </c>
      <c r="G613" s="52">
        <v>10</v>
      </c>
      <c r="H613" s="24">
        <v>0</v>
      </c>
      <c r="I613" s="53"/>
      <c r="J613" s="57"/>
      <c r="K613" s="24">
        <v>0</v>
      </c>
      <c r="L613" s="10">
        <v>0</v>
      </c>
      <c r="M613" s="57"/>
      <c r="N613" s="57"/>
      <c r="O613" s="57"/>
      <c r="P613" s="3"/>
      <c r="Q613" s="3"/>
      <c r="R613" s="58" t="s">
        <v>63</v>
      </c>
      <c r="S613" s="10" t="s">
        <v>828</v>
      </c>
      <c r="T613" s="3"/>
      <c r="U613" s="3"/>
      <c r="V613" s="72" t="s">
        <v>821</v>
      </c>
    </row>
    <row r="614" s="2" customFormat="1" ht="15.75" spans="2:22">
      <c r="B614" s="56">
        <v>208</v>
      </c>
      <c r="C614" s="2">
        <v>613</v>
      </c>
      <c r="D614" s="10" t="s">
        <v>649</v>
      </c>
      <c r="E614" s="10">
        <v>225</v>
      </c>
      <c r="F614" s="10">
        <v>341.5</v>
      </c>
      <c r="G614" s="52">
        <v>10</v>
      </c>
      <c r="H614" s="24">
        <v>0</v>
      </c>
      <c r="I614" s="53"/>
      <c r="J614" s="57"/>
      <c r="K614" s="24">
        <v>0</v>
      </c>
      <c r="L614" s="10">
        <v>0</v>
      </c>
      <c r="M614" s="57"/>
      <c r="N614" s="57"/>
      <c r="O614" s="57"/>
      <c r="P614" s="3"/>
      <c r="Q614" s="3"/>
      <c r="R614" s="58" t="s">
        <v>63</v>
      </c>
      <c r="S614" s="10" t="s">
        <v>829</v>
      </c>
      <c r="T614" s="3"/>
      <c r="U614" s="3"/>
      <c r="V614" s="72" t="s">
        <v>821</v>
      </c>
    </row>
    <row r="615" s="2" customFormat="1" ht="15.75" spans="2:22">
      <c r="B615" s="56">
        <v>209</v>
      </c>
      <c r="C615" s="2">
        <v>614</v>
      </c>
      <c r="D615" s="10" t="s">
        <v>712</v>
      </c>
      <c r="E615" s="10">
        <v>150</v>
      </c>
      <c r="F615" s="10">
        <v>295</v>
      </c>
      <c r="G615" s="52">
        <v>2.5</v>
      </c>
      <c r="H615" s="24">
        <v>0</v>
      </c>
      <c r="I615" s="53"/>
      <c r="J615" s="57"/>
      <c r="K615" s="24">
        <v>0</v>
      </c>
      <c r="L615" s="10">
        <v>0</v>
      </c>
      <c r="M615" s="57"/>
      <c r="N615" s="57"/>
      <c r="O615" s="57"/>
      <c r="P615" s="3"/>
      <c r="Q615" s="3"/>
      <c r="R615" s="58" t="s">
        <v>63</v>
      </c>
      <c r="S615" s="10" t="s">
        <v>730</v>
      </c>
      <c r="T615" s="3"/>
      <c r="U615" s="3"/>
      <c r="V615" s="66" t="s">
        <v>830</v>
      </c>
    </row>
    <row r="616" s="2" customFormat="1" ht="15.75" spans="2:22">
      <c r="B616" s="56">
        <v>210</v>
      </c>
      <c r="C616" s="2">
        <v>615</v>
      </c>
      <c r="D616" s="10" t="s">
        <v>712</v>
      </c>
      <c r="E616" s="10">
        <v>220</v>
      </c>
      <c r="F616" s="10">
        <v>275</v>
      </c>
      <c r="G616" s="52">
        <v>2.66</v>
      </c>
      <c r="H616" s="24">
        <v>0</v>
      </c>
      <c r="I616" s="53"/>
      <c r="J616" s="57"/>
      <c r="K616" s="24">
        <v>0</v>
      </c>
      <c r="L616" s="10">
        <v>0</v>
      </c>
      <c r="M616" s="57"/>
      <c r="N616" s="57"/>
      <c r="O616" s="57"/>
      <c r="P616" s="3"/>
      <c r="Q616" s="3"/>
      <c r="R616" s="58" t="s">
        <v>63</v>
      </c>
      <c r="S616" s="10" t="s">
        <v>730</v>
      </c>
      <c r="T616" s="3"/>
      <c r="U616" s="3"/>
      <c r="V616" s="66" t="s">
        <v>830</v>
      </c>
    </row>
    <row r="617" s="2" customFormat="1" ht="15.75" spans="2:22">
      <c r="B617" s="56">
        <v>211</v>
      </c>
      <c r="C617" s="2">
        <v>616</v>
      </c>
      <c r="D617" s="10" t="s">
        <v>712</v>
      </c>
      <c r="E617" s="10">
        <v>270</v>
      </c>
      <c r="F617" s="10">
        <v>295</v>
      </c>
      <c r="G617" s="52">
        <v>3.13</v>
      </c>
      <c r="H617" s="24">
        <v>0</v>
      </c>
      <c r="I617" s="53"/>
      <c r="J617" s="57"/>
      <c r="K617" s="24">
        <v>0</v>
      </c>
      <c r="L617" s="10">
        <v>0</v>
      </c>
      <c r="M617" s="57"/>
      <c r="N617" s="57"/>
      <c r="O617" s="57"/>
      <c r="P617" s="3"/>
      <c r="Q617" s="3"/>
      <c r="R617" s="58" t="s">
        <v>63</v>
      </c>
      <c r="S617" s="10" t="s">
        <v>730</v>
      </c>
      <c r="T617" s="3"/>
      <c r="U617" s="3"/>
      <c r="V617" s="66" t="s">
        <v>830</v>
      </c>
    </row>
    <row r="618" s="2" customFormat="1" ht="15.75" spans="2:22">
      <c r="B618" s="56">
        <v>212</v>
      </c>
      <c r="C618" s="2">
        <v>617</v>
      </c>
      <c r="D618" s="10" t="s">
        <v>831</v>
      </c>
      <c r="E618" s="10">
        <v>70</v>
      </c>
      <c r="F618" s="10">
        <v>175</v>
      </c>
      <c r="G618" s="52">
        <v>100</v>
      </c>
      <c r="H618" s="24">
        <v>0</v>
      </c>
      <c r="I618" s="53"/>
      <c r="J618" s="57"/>
      <c r="K618" s="24">
        <v>0</v>
      </c>
      <c r="L618" s="10">
        <v>0</v>
      </c>
      <c r="M618" s="57"/>
      <c r="N618" s="57"/>
      <c r="O618" s="57"/>
      <c r="P618" s="3"/>
      <c r="Q618" s="3"/>
      <c r="R618" s="58" t="s">
        <v>56</v>
      </c>
      <c r="S618" s="10" t="s">
        <v>832</v>
      </c>
      <c r="T618" s="3"/>
      <c r="U618" s="3"/>
      <c r="V618" s="65" t="s">
        <v>833</v>
      </c>
    </row>
    <row r="619" s="2" customFormat="1" ht="15.75" spans="2:22">
      <c r="B619" s="56">
        <v>213</v>
      </c>
      <c r="C619" s="2">
        <v>618</v>
      </c>
      <c r="D619" s="10" t="s">
        <v>831</v>
      </c>
      <c r="E619" s="10">
        <v>200</v>
      </c>
      <c r="F619" s="10">
        <v>280</v>
      </c>
      <c r="G619" s="52">
        <v>25</v>
      </c>
      <c r="H619" s="24">
        <v>0</v>
      </c>
      <c r="I619" s="53"/>
      <c r="J619" s="57"/>
      <c r="K619" s="24">
        <v>0</v>
      </c>
      <c r="L619" s="10">
        <v>0</v>
      </c>
      <c r="M619" s="57"/>
      <c r="N619" s="57"/>
      <c r="O619" s="57"/>
      <c r="P619" s="3"/>
      <c r="Q619" s="3"/>
      <c r="R619" s="36" t="s">
        <v>63</v>
      </c>
      <c r="S619" s="10" t="s">
        <v>834</v>
      </c>
      <c r="T619" s="3"/>
      <c r="U619" s="3"/>
      <c r="V619" s="65" t="s">
        <v>833</v>
      </c>
    </row>
    <row r="620" s="2" customFormat="1" ht="15.75" spans="2:22">
      <c r="B620" s="56">
        <v>214</v>
      </c>
      <c r="C620" s="2">
        <v>619</v>
      </c>
      <c r="D620" s="10" t="s">
        <v>831</v>
      </c>
      <c r="E620" s="10">
        <v>225</v>
      </c>
      <c r="F620" s="10">
        <v>320</v>
      </c>
      <c r="G620" s="52">
        <v>10</v>
      </c>
      <c r="H620" s="24">
        <v>0</v>
      </c>
      <c r="I620" s="53"/>
      <c r="J620" s="57"/>
      <c r="K620" s="24">
        <v>0</v>
      </c>
      <c r="L620" s="10">
        <v>0</v>
      </c>
      <c r="M620" s="57"/>
      <c r="N620" s="57"/>
      <c r="O620" s="57"/>
      <c r="P620" s="3"/>
      <c r="Q620" s="3"/>
      <c r="R620" s="58" t="s">
        <v>63</v>
      </c>
      <c r="S620" s="10" t="s">
        <v>835</v>
      </c>
      <c r="T620" s="3"/>
      <c r="U620" s="3"/>
      <c r="V620" s="65" t="s">
        <v>833</v>
      </c>
    </row>
    <row r="621" s="2" customFormat="1" ht="15.75" spans="2:22">
      <c r="B621" s="56">
        <v>215</v>
      </c>
      <c r="C621" s="2">
        <v>620</v>
      </c>
      <c r="D621" s="10" t="s">
        <v>831</v>
      </c>
      <c r="E621" s="10">
        <v>220</v>
      </c>
      <c r="F621" s="10">
        <v>300</v>
      </c>
      <c r="G621" s="52">
        <v>8</v>
      </c>
      <c r="H621" s="24">
        <v>0</v>
      </c>
      <c r="I621" s="53"/>
      <c r="J621" s="57"/>
      <c r="K621" s="24">
        <v>0</v>
      </c>
      <c r="L621" s="10">
        <v>0</v>
      </c>
      <c r="M621" s="57"/>
      <c r="N621" s="57"/>
      <c r="O621" s="57"/>
      <c r="P621" s="3"/>
      <c r="Q621" s="3"/>
      <c r="R621" s="58" t="s">
        <v>63</v>
      </c>
      <c r="S621" s="10" t="s">
        <v>836</v>
      </c>
      <c r="T621" s="3"/>
      <c r="U621" s="3"/>
      <c r="V621" s="65" t="s">
        <v>833</v>
      </c>
    </row>
    <row r="622" s="2" customFormat="1" ht="15.75" spans="2:22">
      <c r="B622" s="56">
        <v>216</v>
      </c>
      <c r="C622" s="2">
        <v>621</v>
      </c>
      <c r="D622" s="10" t="s">
        <v>831</v>
      </c>
      <c r="E622" s="10">
        <v>224</v>
      </c>
      <c r="F622" s="10">
        <v>300</v>
      </c>
      <c r="G622" s="52">
        <v>5</v>
      </c>
      <c r="H622" s="24">
        <v>0</v>
      </c>
      <c r="I622" s="53"/>
      <c r="J622" s="57"/>
      <c r="K622" s="24">
        <v>0</v>
      </c>
      <c r="L622" s="10">
        <v>0</v>
      </c>
      <c r="M622" s="57"/>
      <c r="N622" s="57"/>
      <c r="O622" s="57"/>
      <c r="P622" s="3"/>
      <c r="Q622" s="3"/>
      <c r="R622" s="58" t="s">
        <v>63</v>
      </c>
      <c r="S622" s="10" t="s">
        <v>837</v>
      </c>
      <c r="T622" s="3"/>
      <c r="U622" s="3"/>
      <c r="V622" s="65" t="s">
        <v>833</v>
      </c>
    </row>
    <row r="623" s="2" customFormat="1" ht="15.75" spans="2:22">
      <c r="B623" s="56">
        <v>217</v>
      </c>
      <c r="C623" s="2">
        <v>622</v>
      </c>
      <c r="D623" s="10" t="s">
        <v>831</v>
      </c>
      <c r="E623" s="10">
        <v>223</v>
      </c>
      <c r="F623" s="10">
        <v>298</v>
      </c>
      <c r="G623" s="52">
        <v>4</v>
      </c>
      <c r="H623" s="24">
        <v>0</v>
      </c>
      <c r="I623" s="53"/>
      <c r="J623" s="57"/>
      <c r="K623" s="24">
        <v>0</v>
      </c>
      <c r="L623" s="10">
        <v>0</v>
      </c>
      <c r="M623" s="57"/>
      <c r="N623" s="57"/>
      <c r="O623" s="57"/>
      <c r="P623" s="3"/>
      <c r="Q623" s="3"/>
      <c r="R623" s="58" t="s">
        <v>63</v>
      </c>
      <c r="S623" s="10" t="s">
        <v>838</v>
      </c>
      <c r="T623" s="3"/>
      <c r="U623" s="3"/>
      <c r="V623" s="65" t="s">
        <v>833</v>
      </c>
    </row>
    <row r="624" s="2" customFormat="1" ht="15.75" spans="2:22">
      <c r="B624" s="56">
        <v>218</v>
      </c>
      <c r="C624" s="2">
        <v>623</v>
      </c>
      <c r="D624" s="10" t="s">
        <v>839</v>
      </c>
      <c r="E624" s="10">
        <v>152</v>
      </c>
      <c r="F624" s="10">
        <v>230</v>
      </c>
      <c r="G624" s="52">
        <v>32</v>
      </c>
      <c r="H624" s="24">
        <v>0</v>
      </c>
      <c r="I624" s="53"/>
      <c r="J624" s="57"/>
      <c r="K624" s="24">
        <v>0</v>
      </c>
      <c r="L624" s="10">
        <v>0</v>
      </c>
      <c r="M624" s="57"/>
      <c r="N624" s="57"/>
      <c r="O624" s="57"/>
      <c r="P624" s="3"/>
      <c r="Q624" s="3"/>
      <c r="R624" s="58" t="s">
        <v>63</v>
      </c>
      <c r="S624" s="10" t="s">
        <v>840</v>
      </c>
      <c r="T624" s="3"/>
      <c r="U624" s="3"/>
      <c r="V624" s="59" t="s">
        <v>841</v>
      </c>
    </row>
    <row r="625" s="2" customFormat="1" ht="15.75" spans="2:22">
      <c r="B625" s="56">
        <v>219</v>
      </c>
      <c r="C625" s="2">
        <v>624</v>
      </c>
      <c r="D625" s="10" t="s">
        <v>839</v>
      </c>
      <c r="E625" s="10">
        <v>178</v>
      </c>
      <c r="F625" s="10">
        <v>228</v>
      </c>
      <c r="G625" s="52">
        <v>32</v>
      </c>
      <c r="H625" s="24">
        <v>0</v>
      </c>
      <c r="I625" s="53"/>
      <c r="J625" s="57"/>
      <c r="K625" s="24">
        <v>0</v>
      </c>
      <c r="L625" s="10">
        <v>0</v>
      </c>
      <c r="M625" s="57"/>
      <c r="N625" s="57"/>
      <c r="O625" s="57"/>
      <c r="P625" s="3"/>
      <c r="Q625" s="3"/>
      <c r="R625" s="58" t="s">
        <v>63</v>
      </c>
      <c r="S625" s="10" t="s">
        <v>842</v>
      </c>
      <c r="T625" s="3"/>
      <c r="U625" s="3"/>
      <c r="V625" s="59" t="s">
        <v>841</v>
      </c>
    </row>
    <row r="626" s="2" customFormat="1" ht="15.75" spans="2:22">
      <c r="B626" s="56">
        <v>220</v>
      </c>
      <c r="C626" s="2">
        <v>625</v>
      </c>
      <c r="D626" s="10" t="s">
        <v>839</v>
      </c>
      <c r="E626" s="10">
        <v>105</v>
      </c>
      <c r="F626" s="10">
        <v>205</v>
      </c>
      <c r="G626" s="52">
        <v>50</v>
      </c>
      <c r="H626" s="24">
        <v>0</v>
      </c>
      <c r="I626" s="53"/>
      <c r="J626" s="57"/>
      <c r="K626" s="24">
        <v>0</v>
      </c>
      <c r="L626" s="10">
        <v>0</v>
      </c>
      <c r="M626" s="57"/>
      <c r="N626" s="57"/>
      <c r="O626" s="57"/>
      <c r="P626" s="3"/>
      <c r="Q626" s="3"/>
      <c r="R626" s="58" t="s">
        <v>63</v>
      </c>
      <c r="S626" s="10" t="s">
        <v>842</v>
      </c>
      <c r="T626" s="3"/>
      <c r="U626" s="3"/>
      <c r="V626" s="59" t="s">
        <v>841</v>
      </c>
    </row>
    <row r="627" s="2" customFormat="1" ht="15.75" spans="2:22">
      <c r="B627" s="56">
        <v>221</v>
      </c>
      <c r="C627" s="2">
        <v>626</v>
      </c>
      <c r="D627" s="10" t="s">
        <v>839</v>
      </c>
      <c r="E627" s="10">
        <v>45</v>
      </c>
      <c r="F627" s="10">
        <v>165</v>
      </c>
      <c r="G627" s="52">
        <v>39</v>
      </c>
      <c r="H627" s="24">
        <v>0</v>
      </c>
      <c r="I627" s="53"/>
      <c r="J627" s="57"/>
      <c r="K627" s="24">
        <v>0</v>
      </c>
      <c r="L627" s="10">
        <v>0</v>
      </c>
      <c r="M627" s="57"/>
      <c r="N627" s="57"/>
      <c r="O627" s="57"/>
      <c r="P627" s="3"/>
      <c r="Q627" s="3"/>
      <c r="R627" s="10" t="s">
        <v>843</v>
      </c>
      <c r="S627" s="10" t="s">
        <v>844</v>
      </c>
      <c r="T627" s="3"/>
      <c r="U627" s="3"/>
      <c r="V627" s="59" t="s">
        <v>841</v>
      </c>
    </row>
    <row r="628" s="2" customFormat="1" ht="15.75" spans="2:22">
      <c r="B628" s="56">
        <v>222</v>
      </c>
      <c r="C628" s="2">
        <v>627</v>
      </c>
      <c r="D628" s="10" t="s">
        <v>649</v>
      </c>
      <c r="E628" s="10">
        <v>348</v>
      </c>
      <c r="F628" s="10">
        <v>427</v>
      </c>
      <c r="G628" s="52">
        <v>8</v>
      </c>
      <c r="H628" s="24">
        <v>0</v>
      </c>
      <c r="I628" s="53"/>
      <c r="J628" s="57"/>
      <c r="K628" s="24">
        <v>0</v>
      </c>
      <c r="L628" s="10">
        <v>0</v>
      </c>
      <c r="M628" s="57"/>
      <c r="N628" s="57"/>
      <c r="O628" s="57"/>
      <c r="P628" s="3"/>
      <c r="Q628" s="3"/>
      <c r="R628" s="58" t="s">
        <v>845</v>
      </c>
      <c r="S628" s="10" t="s">
        <v>840</v>
      </c>
      <c r="T628" s="3"/>
      <c r="U628" s="3"/>
      <c r="V628" s="59" t="s">
        <v>841</v>
      </c>
    </row>
    <row r="629" s="2" customFormat="1" ht="15.75" spans="2:22">
      <c r="B629" s="56">
        <v>223</v>
      </c>
      <c r="C629" s="2">
        <v>628</v>
      </c>
      <c r="D629" s="10" t="s">
        <v>649</v>
      </c>
      <c r="E629" s="10">
        <v>343</v>
      </c>
      <c r="F629" s="10">
        <v>396</v>
      </c>
      <c r="G629" s="52">
        <v>8</v>
      </c>
      <c r="H629" s="24">
        <v>0</v>
      </c>
      <c r="I629" s="53"/>
      <c r="J629" s="57"/>
      <c r="K629" s="24">
        <v>0</v>
      </c>
      <c r="L629" s="10">
        <v>0</v>
      </c>
      <c r="M629" s="57"/>
      <c r="N629" s="57"/>
      <c r="O629" s="57"/>
      <c r="P629" s="3"/>
      <c r="Q629" s="3"/>
      <c r="R629" s="58" t="s">
        <v>63</v>
      </c>
      <c r="S629" s="10" t="s">
        <v>842</v>
      </c>
      <c r="T629" s="3"/>
      <c r="U629" s="3"/>
      <c r="V629" s="59" t="s">
        <v>841</v>
      </c>
    </row>
    <row r="630" s="2" customFormat="1" ht="15.75" spans="2:22">
      <c r="B630" s="56">
        <v>224</v>
      </c>
      <c r="C630" s="2">
        <v>629</v>
      </c>
      <c r="D630" s="10" t="s">
        <v>649</v>
      </c>
      <c r="E630" s="10">
        <v>370</v>
      </c>
      <c r="F630" s="10">
        <v>390</v>
      </c>
      <c r="G630" s="52">
        <v>28</v>
      </c>
      <c r="H630" s="24">
        <v>0</v>
      </c>
      <c r="I630" s="53"/>
      <c r="J630" s="57"/>
      <c r="K630" s="24">
        <v>0</v>
      </c>
      <c r="L630" s="10">
        <v>0</v>
      </c>
      <c r="M630" s="57"/>
      <c r="N630" s="57"/>
      <c r="O630" s="57"/>
      <c r="P630" s="3"/>
      <c r="Q630" s="3"/>
      <c r="R630" s="58" t="s">
        <v>67</v>
      </c>
      <c r="S630" s="10" t="s">
        <v>846</v>
      </c>
      <c r="T630" s="3"/>
      <c r="U630" s="3"/>
      <c r="V630" s="59" t="s">
        <v>841</v>
      </c>
    </row>
    <row r="631" s="2" customFormat="1" ht="15.75" spans="2:22">
      <c r="B631" s="56">
        <v>225</v>
      </c>
      <c r="C631" s="2">
        <v>630</v>
      </c>
      <c r="D631" s="10" t="s">
        <v>649</v>
      </c>
      <c r="E631" s="10">
        <v>252</v>
      </c>
      <c r="F631" s="10">
        <v>265</v>
      </c>
      <c r="G631" s="52">
        <v>30</v>
      </c>
      <c r="H631" s="24">
        <v>0</v>
      </c>
      <c r="I631" s="53"/>
      <c r="J631" s="57"/>
      <c r="K631" s="24">
        <v>0</v>
      </c>
      <c r="L631" s="10">
        <v>0</v>
      </c>
      <c r="M631" s="57"/>
      <c r="N631" s="57"/>
      <c r="O631" s="57"/>
      <c r="P631" s="3"/>
      <c r="Q631" s="3"/>
      <c r="R631" s="36" t="s">
        <v>63</v>
      </c>
      <c r="S631" s="10" t="s">
        <v>847</v>
      </c>
      <c r="T631" s="3"/>
      <c r="U631" s="3"/>
      <c r="V631" s="59" t="s">
        <v>841</v>
      </c>
    </row>
    <row r="632" s="2" customFormat="1" ht="15.75" spans="2:22">
      <c r="B632" s="56">
        <v>226</v>
      </c>
      <c r="C632" s="2">
        <v>631</v>
      </c>
      <c r="D632" s="10" t="s">
        <v>848</v>
      </c>
      <c r="E632" s="10">
        <v>443</v>
      </c>
      <c r="F632" s="10">
        <v>487</v>
      </c>
      <c r="G632" s="52">
        <v>4</v>
      </c>
      <c r="H632" s="24">
        <v>0</v>
      </c>
      <c r="I632" s="53"/>
      <c r="J632" s="57"/>
      <c r="K632" s="24">
        <v>0</v>
      </c>
      <c r="L632" s="10">
        <v>0</v>
      </c>
      <c r="M632" s="57"/>
      <c r="N632" s="57"/>
      <c r="O632" s="57"/>
      <c r="P632" s="3"/>
      <c r="Q632" s="3"/>
      <c r="R632" s="58" t="s">
        <v>845</v>
      </c>
      <c r="S632" s="10" t="s">
        <v>840</v>
      </c>
      <c r="T632" s="3"/>
      <c r="U632" s="3"/>
      <c r="V632" s="59" t="s">
        <v>841</v>
      </c>
    </row>
    <row r="633" s="2" customFormat="1" ht="15.75" spans="2:22">
      <c r="B633" s="56">
        <v>227</v>
      </c>
      <c r="C633" s="2">
        <v>632</v>
      </c>
      <c r="D633" s="10" t="s">
        <v>848</v>
      </c>
      <c r="E633" s="10">
        <v>418</v>
      </c>
      <c r="F633" s="10">
        <v>445</v>
      </c>
      <c r="G633" s="52">
        <v>4</v>
      </c>
      <c r="H633" s="24">
        <v>0</v>
      </c>
      <c r="I633" s="53"/>
      <c r="J633" s="57"/>
      <c r="K633" s="24">
        <v>0</v>
      </c>
      <c r="L633" s="10">
        <v>0</v>
      </c>
      <c r="M633" s="57"/>
      <c r="N633" s="57"/>
      <c r="O633" s="57"/>
      <c r="P633" s="3"/>
      <c r="Q633" s="3"/>
      <c r="R633" s="58" t="s">
        <v>845</v>
      </c>
      <c r="S633" s="10" t="s">
        <v>840</v>
      </c>
      <c r="T633" s="3"/>
      <c r="U633" s="3"/>
      <c r="V633" s="59" t="s">
        <v>841</v>
      </c>
    </row>
    <row r="634" s="2" customFormat="1" ht="15.75" spans="2:22">
      <c r="B634" s="56">
        <v>228</v>
      </c>
      <c r="C634" s="2">
        <v>633</v>
      </c>
      <c r="D634" s="10" t="s">
        <v>848</v>
      </c>
      <c r="E634" s="10">
        <v>364</v>
      </c>
      <c r="F634" s="10">
        <v>393</v>
      </c>
      <c r="G634" s="52">
        <v>4</v>
      </c>
      <c r="H634" s="24">
        <v>0</v>
      </c>
      <c r="I634" s="53"/>
      <c r="J634" s="57"/>
      <c r="K634" s="24">
        <v>0</v>
      </c>
      <c r="L634" s="10">
        <v>0</v>
      </c>
      <c r="M634" s="57"/>
      <c r="N634" s="57"/>
      <c r="O634" s="57"/>
      <c r="P634" s="3"/>
      <c r="Q634" s="3"/>
      <c r="R634" s="58" t="s">
        <v>67</v>
      </c>
      <c r="S634" s="10" t="s">
        <v>849</v>
      </c>
      <c r="T634" s="3"/>
      <c r="U634" s="3"/>
      <c r="V634" s="59" t="s">
        <v>841</v>
      </c>
    </row>
    <row r="635" s="2" customFormat="1" ht="15.75" spans="2:22">
      <c r="B635" s="56">
        <v>229</v>
      </c>
      <c r="C635" s="2">
        <v>634</v>
      </c>
      <c r="D635" s="10" t="s">
        <v>848</v>
      </c>
      <c r="E635" s="10">
        <v>226</v>
      </c>
      <c r="F635" s="10">
        <v>324</v>
      </c>
      <c r="G635" s="52">
        <v>4</v>
      </c>
      <c r="H635" s="24">
        <v>0</v>
      </c>
      <c r="I635" s="53"/>
      <c r="J635" s="57"/>
      <c r="K635" s="24">
        <v>0</v>
      </c>
      <c r="L635" s="10">
        <v>0</v>
      </c>
      <c r="M635" s="57"/>
      <c r="N635" s="57"/>
      <c r="O635" s="57"/>
      <c r="P635" s="3"/>
      <c r="Q635" s="3"/>
      <c r="R635" s="36" t="s">
        <v>845</v>
      </c>
      <c r="S635" s="10" t="s">
        <v>850</v>
      </c>
      <c r="T635" s="3"/>
      <c r="U635" s="3"/>
      <c r="V635" s="59" t="s">
        <v>841</v>
      </c>
    </row>
    <row r="636" s="2" customFormat="1" ht="15.75" spans="2:22">
      <c r="B636" s="56">
        <v>230</v>
      </c>
      <c r="C636" s="2">
        <v>635</v>
      </c>
      <c r="D636" s="10" t="s">
        <v>851</v>
      </c>
      <c r="E636" s="10">
        <v>443</v>
      </c>
      <c r="F636" s="10">
        <v>498</v>
      </c>
      <c r="G636" s="52">
        <v>3</v>
      </c>
      <c r="H636" s="24">
        <v>0</v>
      </c>
      <c r="I636" s="53"/>
      <c r="J636" s="57"/>
      <c r="K636" s="24">
        <v>0</v>
      </c>
      <c r="L636" s="10">
        <v>0</v>
      </c>
      <c r="M636" s="57"/>
      <c r="N636" s="57"/>
      <c r="O636" s="57"/>
      <c r="P636" s="3"/>
      <c r="Q636" s="3"/>
      <c r="R636" s="36" t="s">
        <v>845</v>
      </c>
      <c r="S636" s="10" t="s">
        <v>840</v>
      </c>
      <c r="T636" s="3"/>
      <c r="U636" s="3"/>
      <c r="V636" s="59" t="s">
        <v>841</v>
      </c>
    </row>
    <row r="637" s="2" customFormat="1" ht="15.75" spans="2:22">
      <c r="B637" s="56">
        <v>231</v>
      </c>
      <c r="C637" s="2">
        <v>636</v>
      </c>
      <c r="D637" s="10" t="s">
        <v>851</v>
      </c>
      <c r="E637" s="10">
        <v>424</v>
      </c>
      <c r="F637" s="10">
        <v>445</v>
      </c>
      <c r="G637" s="52">
        <v>3</v>
      </c>
      <c r="H637" s="24">
        <v>0</v>
      </c>
      <c r="I637" s="53"/>
      <c r="J637" s="57"/>
      <c r="K637" s="24">
        <v>0</v>
      </c>
      <c r="L637" s="10">
        <v>0</v>
      </c>
      <c r="M637" s="57"/>
      <c r="N637" s="57"/>
      <c r="O637" s="57"/>
      <c r="P637" s="3"/>
      <c r="Q637" s="3"/>
      <c r="R637" s="36" t="s">
        <v>845</v>
      </c>
      <c r="S637" s="10" t="s">
        <v>842</v>
      </c>
      <c r="T637" s="3"/>
      <c r="U637" s="3"/>
      <c r="V637" s="59" t="s">
        <v>841</v>
      </c>
    </row>
    <row r="638" s="2" customFormat="1" ht="15.75" spans="2:22">
      <c r="B638" s="56">
        <v>232</v>
      </c>
      <c r="C638" s="2">
        <v>637</v>
      </c>
      <c r="D638" s="10" t="s">
        <v>851</v>
      </c>
      <c r="E638" s="10">
        <v>244</v>
      </c>
      <c r="F638" s="10">
        <v>341</v>
      </c>
      <c r="G638" s="52">
        <v>3</v>
      </c>
      <c r="H638" s="24">
        <v>0</v>
      </c>
      <c r="I638" s="53"/>
      <c r="J638" s="57"/>
      <c r="K638" s="24">
        <v>0</v>
      </c>
      <c r="L638" s="10">
        <v>0</v>
      </c>
      <c r="M638" s="57"/>
      <c r="N638" s="57"/>
      <c r="O638" s="57"/>
      <c r="P638" s="3"/>
      <c r="Q638" s="3"/>
      <c r="R638" s="36" t="s">
        <v>845</v>
      </c>
      <c r="S638" s="10" t="s">
        <v>852</v>
      </c>
      <c r="T638" s="3"/>
      <c r="U638" s="3"/>
      <c r="V638" s="59" t="s">
        <v>841</v>
      </c>
    </row>
    <row r="639" s="2" customFormat="1" ht="15.75" spans="2:22">
      <c r="B639" s="56">
        <v>233</v>
      </c>
      <c r="C639" s="2">
        <v>638</v>
      </c>
      <c r="D639" s="10" t="s">
        <v>851</v>
      </c>
      <c r="E639" s="10">
        <v>100</v>
      </c>
      <c r="F639" s="10">
        <v>250</v>
      </c>
      <c r="G639" s="52">
        <v>3</v>
      </c>
      <c r="H639" s="24">
        <v>0</v>
      </c>
      <c r="I639" s="53"/>
      <c r="J639" s="57"/>
      <c r="K639" s="24">
        <v>0</v>
      </c>
      <c r="L639" s="10">
        <v>0</v>
      </c>
      <c r="M639" s="57"/>
      <c r="N639" s="57"/>
      <c r="O639" s="57"/>
      <c r="P639" s="3"/>
      <c r="Q639" s="3"/>
      <c r="R639" s="10" t="s">
        <v>843</v>
      </c>
      <c r="S639" s="10" t="s">
        <v>844</v>
      </c>
      <c r="T639" s="3"/>
      <c r="U639" s="3"/>
      <c r="V639" s="59" t="s">
        <v>841</v>
      </c>
    </row>
    <row r="640" s="2" customFormat="1" ht="15.75" spans="2:22">
      <c r="B640" s="56">
        <v>234</v>
      </c>
      <c r="C640" s="2">
        <v>639</v>
      </c>
      <c r="D640" s="10" t="s">
        <v>839</v>
      </c>
      <c r="E640" s="10">
        <v>60</v>
      </c>
      <c r="F640" s="10">
        <v>75</v>
      </c>
      <c r="G640" s="52">
        <v>400</v>
      </c>
      <c r="H640" s="24">
        <v>0</v>
      </c>
      <c r="I640" s="53"/>
      <c r="J640" s="57"/>
      <c r="K640" s="24">
        <v>0</v>
      </c>
      <c r="L640" s="10">
        <v>0</v>
      </c>
      <c r="M640" s="57"/>
      <c r="N640" s="57"/>
      <c r="O640" s="57"/>
      <c r="P640" s="3"/>
      <c r="Q640" s="3"/>
      <c r="R640" s="10" t="s">
        <v>843</v>
      </c>
      <c r="S640" s="10" t="s">
        <v>853</v>
      </c>
      <c r="T640" s="3"/>
      <c r="U640" s="3"/>
      <c r="V640" s="59" t="s">
        <v>854</v>
      </c>
    </row>
    <row r="641" s="2" customFormat="1" ht="15.75" spans="2:22">
      <c r="B641" s="56">
        <v>235</v>
      </c>
      <c r="C641" s="2">
        <v>640</v>
      </c>
      <c r="D641" s="10" t="s">
        <v>839</v>
      </c>
      <c r="E641" s="10">
        <v>75</v>
      </c>
      <c r="F641" s="10">
        <v>110</v>
      </c>
      <c r="G641" s="52">
        <v>150</v>
      </c>
      <c r="H641" s="24">
        <v>0</v>
      </c>
      <c r="I641" s="53"/>
      <c r="J641" s="57"/>
      <c r="K641" s="24">
        <v>0</v>
      </c>
      <c r="L641" s="10">
        <v>0</v>
      </c>
      <c r="M641" s="57"/>
      <c r="N641" s="57"/>
      <c r="O641" s="57"/>
      <c r="P641" s="3"/>
      <c r="Q641" s="3"/>
      <c r="R641" s="10" t="s">
        <v>843</v>
      </c>
      <c r="S641" s="10" t="s">
        <v>855</v>
      </c>
      <c r="T641" s="3"/>
      <c r="U641" s="3"/>
      <c r="V641" s="59" t="s">
        <v>854</v>
      </c>
    </row>
    <row r="642" s="2" customFormat="1" ht="15.75" spans="2:22">
      <c r="B642" s="56">
        <v>236</v>
      </c>
      <c r="C642" s="2">
        <v>641</v>
      </c>
      <c r="D642" s="10" t="s">
        <v>839</v>
      </c>
      <c r="E642" s="10">
        <v>100</v>
      </c>
      <c r="F642" s="10">
        <v>115</v>
      </c>
      <c r="G642" s="52">
        <v>110</v>
      </c>
      <c r="H642" s="24">
        <v>0</v>
      </c>
      <c r="I642" s="53"/>
      <c r="J642" s="57"/>
      <c r="K642" s="24">
        <v>0</v>
      </c>
      <c r="L642" s="10">
        <v>0</v>
      </c>
      <c r="M642" s="57"/>
      <c r="N642" s="57"/>
      <c r="O642" s="57"/>
      <c r="P642" s="3"/>
      <c r="Q642" s="3"/>
      <c r="R642" s="10" t="s">
        <v>843</v>
      </c>
      <c r="S642" s="10" t="s">
        <v>856</v>
      </c>
      <c r="T642" s="3"/>
      <c r="U642" s="3"/>
      <c r="V642" s="59" t="s">
        <v>854</v>
      </c>
    </row>
    <row r="643" s="2" customFormat="1" ht="15.75" spans="2:22">
      <c r="B643" s="56">
        <v>237</v>
      </c>
      <c r="C643" s="2">
        <v>642</v>
      </c>
      <c r="D643" s="10" t="s">
        <v>857</v>
      </c>
      <c r="E643" s="10">
        <v>55</v>
      </c>
      <c r="F643" s="10">
        <v>75</v>
      </c>
      <c r="G643" s="52">
        <v>100</v>
      </c>
      <c r="H643" s="24">
        <v>0</v>
      </c>
      <c r="I643" s="53"/>
      <c r="J643" s="57"/>
      <c r="K643" s="24">
        <v>0</v>
      </c>
      <c r="L643" s="10">
        <v>0</v>
      </c>
      <c r="M643" s="57"/>
      <c r="N643" s="57"/>
      <c r="O643" s="57"/>
      <c r="P643" s="3"/>
      <c r="Q643" s="3"/>
      <c r="R643" s="10" t="s">
        <v>843</v>
      </c>
      <c r="S643" s="10" t="s">
        <v>858</v>
      </c>
      <c r="T643" s="3"/>
      <c r="U643" s="3"/>
      <c r="V643" s="59" t="s">
        <v>854</v>
      </c>
    </row>
    <row r="644" s="2" customFormat="1" ht="15.75" spans="2:22">
      <c r="B644" s="56">
        <v>238</v>
      </c>
      <c r="C644" s="2">
        <v>643</v>
      </c>
      <c r="D644" s="10" t="s">
        <v>857</v>
      </c>
      <c r="E644" s="10">
        <v>90</v>
      </c>
      <c r="F644" s="10">
        <v>210</v>
      </c>
      <c r="G644" s="52">
        <v>95</v>
      </c>
      <c r="H644" s="24">
        <v>0</v>
      </c>
      <c r="I644" s="53"/>
      <c r="J644" s="57"/>
      <c r="K644" s="24">
        <v>0</v>
      </c>
      <c r="L644" s="10">
        <v>0</v>
      </c>
      <c r="M644" s="57"/>
      <c r="N644" s="57"/>
      <c r="O644" s="57"/>
      <c r="P644" s="3"/>
      <c r="Q644" s="3"/>
      <c r="R644" s="10" t="s">
        <v>843</v>
      </c>
      <c r="S644" s="10" t="s">
        <v>855</v>
      </c>
      <c r="T644" s="3"/>
      <c r="U644" s="3"/>
      <c r="V644" s="59" t="s">
        <v>854</v>
      </c>
    </row>
    <row r="645" s="2" customFormat="1" ht="15.75" spans="2:22">
      <c r="B645" s="56">
        <v>239</v>
      </c>
      <c r="C645" s="2">
        <v>644</v>
      </c>
      <c r="D645" s="10" t="s">
        <v>857</v>
      </c>
      <c r="E645" s="10">
        <v>89</v>
      </c>
      <c r="F645" s="10">
        <v>190</v>
      </c>
      <c r="G645" s="52">
        <v>90</v>
      </c>
      <c r="H645" s="24">
        <v>0</v>
      </c>
      <c r="I645" s="53"/>
      <c r="J645" s="57"/>
      <c r="K645" s="24">
        <v>0</v>
      </c>
      <c r="L645" s="10">
        <v>0</v>
      </c>
      <c r="M645" s="57"/>
      <c r="N645" s="57"/>
      <c r="O645" s="57"/>
      <c r="P645" s="3"/>
      <c r="Q645" s="3"/>
      <c r="R645" s="10" t="s">
        <v>843</v>
      </c>
      <c r="S645" s="10" t="s">
        <v>856</v>
      </c>
      <c r="T645" s="3"/>
      <c r="U645" s="3"/>
      <c r="V645" s="59" t="s">
        <v>854</v>
      </c>
    </row>
    <row r="646" s="2" customFormat="1" ht="15.75" spans="2:22">
      <c r="B646" s="56">
        <v>240</v>
      </c>
      <c r="C646" s="2">
        <v>645</v>
      </c>
      <c r="D646" s="10" t="s">
        <v>857</v>
      </c>
      <c r="E646" s="10">
        <v>85</v>
      </c>
      <c r="F646" s="10">
        <v>200</v>
      </c>
      <c r="G646" s="52">
        <v>80</v>
      </c>
      <c r="H646" s="24">
        <v>0</v>
      </c>
      <c r="I646" s="53"/>
      <c r="J646" s="57"/>
      <c r="K646" s="24">
        <v>0</v>
      </c>
      <c r="L646" s="10">
        <v>0</v>
      </c>
      <c r="M646" s="57"/>
      <c r="N646" s="57"/>
      <c r="O646" s="57"/>
      <c r="P646" s="3"/>
      <c r="Q646" s="3"/>
      <c r="R646" s="10" t="s">
        <v>843</v>
      </c>
      <c r="S646" s="10" t="s">
        <v>859</v>
      </c>
      <c r="T646" s="3"/>
      <c r="U646" s="3"/>
      <c r="V646" s="59" t="s">
        <v>854</v>
      </c>
    </row>
    <row r="647" s="2" customFormat="1" ht="15.75" spans="2:22">
      <c r="B647" s="56">
        <v>241</v>
      </c>
      <c r="C647" s="2">
        <v>646</v>
      </c>
      <c r="D647" s="24" t="s">
        <v>857</v>
      </c>
      <c r="E647" s="10">
        <v>55</v>
      </c>
      <c r="F647" s="10">
        <v>75</v>
      </c>
      <c r="G647" s="52">
        <v>100</v>
      </c>
      <c r="H647" s="24">
        <v>0</v>
      </c>
      <c r="I647" s="53"/>
      <c r="J647" s="57"/>
      <c r="K647" s="24">
        <v>0</v>
      </c>
      <c r="L647" s="10">
        <v>0</v>
      </c>
      <c r="M647" s="57"/>
      <c r="N647" s="57"/>
      <c r="O647" s="57"/>
      <c r="P647" s="3"/>
      <c r="Q647" s="3"/>
      <c r="R647" s="10" t="s">
        <v>843</v>
      </c>
      <c r="S647" s="10" t="s">
        <v>858</v>
      </c>
      <c r="T647" s="3"/>
      <c r="U647" s="3"/>
      <c r="V647" s="59" t="s">
        <v>854</v>
      </c>
    </row>
    <row r="648" s="2" customFormat="1" ht="15.75" spans="2:22">
      <c r="B648" s="56">
        <v>242</v>
      </c>
      <c r="C648" s="2">
        <v>647</v>
      </c>
      <c r="D648" s="24" t="s">
        <v>857</v>
      </c>
      <c r="E648" s="10">
        <v>110</v>
      </c>
      <c r="F648" s="10">
        <v>210</v>
      </c>
      <c r="G648" s="52">
        <v>60</v>
      </c>
      <c r="H648" s="24">
        <v>0</v>
      </c>
      <c r="I648" s="53"/>
      <c r="J648" s="57"/>
      <c r="K648" s="24">
        <v>0</v>
      </c>
      <c r="L648" s="10">
        <v>0</v>
      </c>
      <c r="M648" s="57"/>
      <c r="N648" s="57"/>
      <c r="O648" s="57"/>
      <c r="P648" s="3"/>
      <c r="Q648" s="3"/>
      <c r="R648" s="10" t="s">
        <v>843</v>
      </c>
      <c r="S648" s="10" t="s">
        <v>855</v>
      </c>
      <c r="T648" s="3"/>
      <c r="U648" s="3"/>
      <c r="V648" s="59" t="s">
        <v>854</v>
      </c>
    </row>
    <row r="649" s="2" customFormat="1" ht="15.75" spans="2:22">
      <c r="B649" s="56">
        <v>243</v>
      </c>
      <c r="C649" s="2">
        <v>648</v>
      </c>
      <c r="D649" s="24" t="s">
        <v>857</v>
      </c>
      <c r="E649" s="10">
        <v>55</v>
      </c>
      <c r="F649" s="10">
        <v>225</v>
      </c>
      <c r="G649" s="52">
        <v>65</v>
      </c>
      <c r="H649" s="24">
        <v>0</v>
      </c>
      <c r="I649" s="53"/>
      <c r="J649" s="57"/>
      <c r="K649" s="24">
        <v>0</v>
      </c>
      <c r="L649" s="10">
        <v>0</v>
      </c>
      <c r="M649" s="57"/>
      <c r="N649" s="57"/>
      <c r="O649" s="57"/>
      <c r="P649" s="3"/>
      <c r="Q649" s="3"/>
      <c r="R649" s="10" t="s">
        <v>843</v>
      </c>
      <c r="S649" s="10" t="s">
        <v>856</v>
      </c>
      <c r="T649" s="3"/>
      <c r="U649" s="3"/>
      <c r="V649" s="59" t="s">
        <v>854</v>
      </c>
    </row>
    <row r="650" s="2" customFormat="1" ht="15.75" spans="2:22">
      <c r="B650" s="56">
        <v>244</v>
      </c>
      <c r="C650" s="2">
        <v>649</v>
      </c>
      <c r="D650" s="24" t="s">
        <v>857</v>
      </c>
      <c r="E650" s="10">
        <v>55</v>
      </c>
      <c r="F650" s="10">
        <v>75</v>
      </c>
      <c r="G650" s="52">
        <v>100</v>
      </c>
      <c r="H650" s="24">
        <v>0</v>
      </c>
      <c r="I650" s="53"/>
      <c r="J650" s="57"/>
      <c r="K650" s="24">
        <v>0</v>
      </c>
      <c r="L650" s="10">
        <v>0</v>
      </c>
      <c r="M650" s="57"/>
      <c r="N650" s="57"/>
      <c r="O650" s="57"/>
      <c r="P650" s="3"/>
      <c r="Q650" s="3"/>
      <c r="R650" s="10" t="s">
        <v>843</v>
      </c>
      <c r="S650" s="10" t="s">
        <v>858</v>
      </c>
      <c r="T650" s="3"/>
      <c r="U650" s="3"/>
      <c r="V650" s="59" t="s">
        <v>854</v>
      </c>
    </row>
    <row r="651" s="2" customFormat="1" ht="15.75" spans="2:22">
      <c r="B651" s="56">
        <v>245</v>
      </c>
      <c r="C651" s="2">
        <v>650</v>
      </c>
      <c r="D651" s="24" t="s">
        <v>857</v>
      </c>
      <c r="E651" s="10">
        <v>110</v>
      </c>
      <c r="F651" s="10">
        <v>210</v>
      </c>
      <c r="G651" s="52">
        <v>20</v>
      </c>
      <c r="H651" s="24">
        <v>0</v>
      </c>
      <c r="I651" s="53"/>
      <c r="J651" s="57"/>
      <c r="K651" s="24">
        <v>0</v>
      </c>
      <c r="L651" s="10">
        <v>0</v>
      </c>
      <c r="M651" s="57"/>
      <c r="N651" s="57"/>
      <c r="O651" s="57"/>
      <c r="P651" s="3"/>
      <c r="Q651" s="3"/>
      <c r="R651" s="10" t="s">
        <v>843</v>
      </c>
      <c r="S651" s="10" t="s">
        <v>855</v>
      </c>
      <c r="T651" s="3"/>
      <c r="U651" s="3"/>
      <c r="V651" s="59" t="s">
        <v>854</v>
      </c>
    </row>
    <row r="652" s="2" customFormat="1" ht="15.75" spans="2:22">
      <c r="B652" s="56">
        <v>246</v>
      </c>
      <c r="C652" s="2">
        <v>651</v>
      </c>
      <c r="D652" s="24" t="s">
        <v>857</v>
      </c>
      <c r="E652" s="10">
        <v>140</v>
      </c>
      <c r="F652" s="10">
        <v>240</v>
      </c>
      <c r="G652" s="52">
        <v>15</v>
      </c>
      <c r="H652" s="24">
        <v>0</v>
      </c>
      <c r="I652" s="53"/>
      <c r="J652" s="57"/>
      <c r="K652" s="24">
        <v>0</v>
      </c>
      <c r="L652" s="10">
        <v>0</v>
      </c>
      <c r="M652" s="57"/>
      <c r="N652" s="57"/>
      <c r="O652" s="57"/>
      <c r="P652" s="3"/>
      <c r="Q652" s="3"/>
      <c r="R652" s="10" t="s">
        <v>843</v>
      </c>
      <c r="S652" s="10" t="s">
        <v>856</v>
      </c>
      <c r="T652" s="3"/>
      <c r="U652" s="3"/>
      <c r="V652" s="59" t="s">
        <v>854</v>
      </c>
    </row>
    <row r="653" s="2" customFormat="1" ht="15.75" spans="2:22">
      <c r="B653" s="56">
        <v>247</v>
      </c>
      <c r="C653" s="2">
        <v>652</v>
      </c>
      <c r="D653" s="10" t="s">
        <v>860</v>
      </c>
      <c r="E653" s="10">
        <v>198</v>
      </c>
      <c r="F653" s="10">
        <v>275</v>
      </c>
      <c r="G653" s="52">
        <v>19</v>
      </c>
      <c r="H653" s="24">
        <v>0</v>
      </c>
      <c r="I653" s="53"/>
      <c r="J653" s="57"/>
      <c r="K653" s="24">
        <v>0</v>
      </c>
      <c r="L653" s="10">
        <v>0</v>
      </c>
      <c r="M653" s="57"/>
      <c r="N653" s="57"/>
      <c r="O653" s="57"/>
      <c r="P653" s="3"/>
      <c r="Q653" s="3"/>
      <c r="R653" s="58" t="s">
        <v>63</v>
      </c>
      <c r="S653" s="10" t="s">
        <v>730</v>
      </c>
      <c r="T653" s="3"/>
      <c r="U653" s="3"/>
      <c r="V653" s="65" t="s">
        <v>861</v>
      </c>
    </row>
    <row r="654" s="2" customFormat="1" ht="15.75" spans="2:22">
      <c r="B654" s="56">
        <v>248</v>
      </c>
      <c r="C654" s="2">
        <v>653</v>
      </c>
      <c r="D654" s="10" t="s">
        <v>860</v>
      </c>
      <c r="E654" s="10">
        <v>195</v>
      </c>
      <c r="F654" s="10">
        <v>276</v>
      </c>
      <c r="G654" s="52">
        <v>15</v>
      </c>
      <c r="H654" s="24">
        <v>0</v>
      </c>
      <c r="I654" s="53"/>
      <c r="J654" s="57"/>
      <c r="K654" s="24">
        <v>0</v>
      </c>
      <c r="L654" s="10">
        <v>0</v>
      </c>
      <c r="M654" s="57"/>
      <c r="N654" s="57"/>
      <c r="O654" s="57"/>
      <c r="P654" s="3"/>
      <c r="Q654" s="3"/>
      <c r="R654" s="10" t="s">
        <v>843</v>
      </c>
      <c r="S654" s="10" t="s">
        <v>862</v>
      </c>
      <c r="T654" s="3"/>
      <c r="U654" s="3"/>
      <c r="V654" s="65" t="s">
        <v>861</v>
      </c>
    </row>
    <row r="655" s="2" customFormat="1" ht="15.75" spans="2:22">
      <c r="B655" s="56">
        <v>249</v>
      </c>
      <c r="C655" s="2">
        <v>654</v>
      </c>
      <c r="D655" s="10" t="s">
        <v>860</v>
      </c>
      <c r="E655" s="10">
        <v>180</v>
      </c>
      <c r="F655" s="10">
        <v>275</v>
      </c>
      <c r="G655" s="52">
        <v>12</v>
      </c>
      <c r="H655" s="24">
        <v>0</v>
      </c>
      <c r="I655" s="53"/>
      <c r="J655" s="57"/>
      <c r="K655" s="24">
        <v>0</v>
      </c>
      <c r="L655" s="10">
        <v>0</v>
      </c>
      <c r="M655" s="57"/>
      <c r="N655" s="57"/>
      <c r="O655" s="57"/>
      <c r="P655" s="3"/>
      <c r="Q655" s="3"/>
      <c r="R655" s="10" t="s">
        <v>843</v>
      </c>
      <c r="S655" s="10" t="s">
        <v>863</v>
      </c>
      <c r="T655" s="3"/>
      <c r="U655" s="3"/>
      <c r="V655" s="65" t="s">
        <v>861</v>
      </c>
    </row>
    <row r="656" s="2" customFormat="1" ht="15.75" spans="2:22">
      <c r="B656" s="56">
        <v>250</v>
      </c>
      <c r="C656" s="2">
        <v>655</v>
      </c>
      <c r="D656" s="10" t="s">
        <v>860</v>
      </c>
      <c r="E656" s="10">
        <v>175</v>
      </c>
      <c r="F656" s="10">
        <v>270</v>
      </c>
      <c r="G656" s="52">
        <v>8</v>
      </c>
      <c r="H656" s="24">
        <v>0</v>
      </c>
      <c r="I656" s="53"/>
      <c r="J656" s="57"/>
      <c r="K656" s="24">
        <v>0</v>
      </c>
      <c r="L656" s="10">
        <v>0</v>
      </c>
      <c r="M656" s="57"/>
      <c r="N656" s="57"/>
      <c r="O656" s="57"/>
      <c r="P656" s="3"/>
      <c r="Q656" s="3"/>
      <c r="R656" s="10" t="s">
        <v>843</v>
      </c>
      <c r="S656" s="10" t="s">
        <v>864</v>
      </c>
      <c r="T656" s="3"/>
      <c r="U656" s="3"/>
      <c r="V656" s="65" t="s">
        <v>861</v>
      </c>
    </row>
    <row r="657" s="2" customFormat="1" ht="15.75" spans="2:22">
      <c r="B657" s="56">
        <v>251</v>
      </c>
      <c r="C657" s="2">
        <v>656</v>
      </c>
      <c r="D657" s="10" t="s">
        <v>860</v>
      </c>
      <c r="E657" s="10">
        <v>130</v>
      </c>
      <c r="F657" s="10">
        <v>260</v>
      </c>
      <c r="G657" s="52">
        <v>3</v>
      </c>
      <c r="H657" s="24">
        <v>0</v>
      </c>
      <c r="I657" s="53"/>
      <c r="J657" s="57"/>
      <c r="K657" s="24">
        <v>0</v>
      </c>
      <c r="L657" s="10">
        <v>0</v>
      </c>
      <c r="M657" s="57"/>
      <c r="N657" s="57"/>
      <c r="O657" s="57"/>
      <c r="P657" s="3"/>
      <c r="Q657" s="3"/>
      <c r="R657" s="10" t="s">
        <v>843</v>
      </c>
      <c r="S657" s="10" t="s">
        <v>865</v>
      </c>
      <c r="T657" s="3"/>
      <c r="U657" s="3"/>
      <c r="V657" s="65" t="s">
        <v>861</v>
      </c>
    </row>
    <row r="658" s="2" customFormat="1" ht="15.75" spans="2:22">
      <c r="B658" s="56">
        <v>252</v>
      </c>
      <c r="C658" s="2">
        <v>657</v>
      </c>
      <c r="D658" s="10" t="s">
        <v>860</v>
      </c>
      <c r="E658" s="10">
        <v>150</v>
      </c>
      <c r="F658" s="10">
        <v>270</v>
      </c>
      <c r="G658" s="52">
        <v>2</v>
      </c>
      <c r="H658" s="24">
        <v>0</v>
      </c>
      <c r="I658" s="53"/>
      <c r="J658" s="57"/>
      <c r="K658" s="24">
        <v>0</v>
      </c>
      <c r="L658" s="10">
        <v>0</v>
      </c>
      <c r="M658" s="57"/>
      <c r="N658" s="57"/>
      <c r="O658" s="57"/>
      <c r="P658" s="3"/>
      <c r="Q658" s="3"/>
      <c r="R658" s="10" t="s">
        <v>843</v>
      </c>
      <c r="S658" s="10" t="s">
        <v>866</v>
      </c>
      <c r="T658" s="3"/>
      <c r="U658" s="3"/>
      <c r="V658" s="65" t="s">
        <v>861</v>
      </c>
    </row>
    <row r="659" s="2" customFormat="1" ht="15.75" spans="2:22">
      <c r="B659" s="56">
        <v>253</v>
      </c>
      <c r="C659" s="2">
        <v>658</v>
      </c>
      <c r="D659" s="10" t="s">
        <v>860</v>
      </c>
      <c r="E659" s="10">
        <v>210</v>
      </c>
      <c r="F659" s="10">
        <v>310</v>
      </c>
      <c r="G659" s="52">
        <v>2</v>
      </c>
      <c r="H659" s="24">
        <v>0</v>
      </c>
      <c r="I659" s="53"/>
      <c r="J659" s="57"/>
      <c r="K659" s="24">
        <v>0</v>
      </c>
      <c r="L659" s="10">
        <v>0</v>
      </c>
      <c r="M659" s="57"/>
      <c r="N659" s="57"/>
      <c r="O659" s="57"/>
      <c r="P659" s="3"/>
      <c r="Q659" s="3"/>
      <c r="R659" s="10" t="s">
        <v>843</v>
      </c>
      <c r="S659" s="10" t="s">
        <v>867</v>
      </c>
      <c r="T659" s="3"/>
      <c r="U659" s="3"/>
      <c r="V659" s="65" t="s">
        <v>861</v>
      </c>
    </row>
    <row r="660" s="2" customFormat="1" ht="15.75" spans="2:22">
      <c r="B660" s="56">
        <v>254</v>
      </c>
      <c r="C660" s="2">
        <v>659</v>
      </c>
      <c r="D660" s="10" t="s">
        <v>649</v>
      </c>
      <c r="E660" s="10">
        <v>100</v>
      </c>
      <c r="F660" s="10">
        <v>160</v>
      </c>
      <c r="G660" s="52">
        <v>75</v>
      </c>
      <c r="H660" s="24">
        <v>0</v>
      </c>
      <c r="I660" s="53"/>
      <c r="J660" s="57"/>
      <c r="K660" s="24">
        <v>0</v>
      </c>
      <c r="L660" s="10">
        <v>0</v>
      </c>
      <c r="M660" s="57"/>
      <c r="N660" s="57"/>
      <c r="O660" s="57"/>
      <c r="P660" s="3"/>
      <c r="Q660" s="3"/>
      <c r="R660" s="58" t="s">
        <v>56</v>
      </c>
      <c r="S660" s="10" t="s">
        <v>832</v>
      </c>
      <c r="T660" s="3"/>
      <c r="U660" s="3"/>
      <c r="V660" s="65" t="s">
        <v>868</v>
      </c>
    </row>
    <row r="661" s="2" customFormat="1" ht="15.75" spans="2:22">
      <c r="B661" s="56">
        <v>255</v>
      </c>
      <c r="C661" s="2">
        <v>660</v>
      </c>
      <c r="D661" s="10" t="s">
        <v>649</v>
      </c>
      <c r="E661" s="10">
        <v>265</v>
      </c>
      <c r="F661" s="10">
        <v>319</v>
      </c>
      <c r="G661" s="52">
        <v>2.5</v>
      </c>
      <c r="H661" s="24">
        <v>0</v>
      </c>
      <c r="I661" s="53"/>
      <c r="J661" s="57"/>
      <c r="K661" s="24">
        <v>0</v>
      </c>
      <c r="L661" s="10">
        <v>0</v>
      </c>
      <c r="M661" s="57"/>
      <c r="N661" s="57"/>
      <c r="O661" s="57"/>
      <c r="P661" s="3"/>
      <c r="Q661" s="3"/>
      <c r="R661" s="36" t="s">
        <v>63</v>
      </c>
      <c r="S661" s="10" t="s">
        <v>842</v>
      </c>
      <c r="T661" s="3"/>
      <c r="U661" s="3"/>
      <c r="V661" s="65" t="s">
        <v>868</v>
      </c>
    </row>
    <row r="662" s="2" customFormat="1" ht="15.75" spans="2:22">
      <c r="B662" s="56">
        <v>256</v>
      </c>
      <c r="C662" s="2">
        <v>661</v>
      </c>
      <c r="D662" s="10" t="s">
        <v>649</v>
      </c>
      <c r="E662" s="10">
        <v>217</v>
      </c>
      <c r="F662" s="10">
        <v>282</v>
      </c>
      <c r="G662" s="52">
        <v>0.7</v>
      </c>
      <c r="H662" s="24">
        <v>0</v>
      </c>
      <c r="I662" s="53"/>
      <c r="J662" s="57"/>
      <c r="K662" s="24">
        <v>0</v>
      </c>
      <c r="L662" s="10">
        <v>0</v>
      </c>
      <c r="M662" s="57"/>
      <c r="N662" s="57"/>
      <c r="O662" s="57"/>
      <c r="P662" s="3"/>
      <c r="Q662" s="3"/>
      <c r="R662" s="10" t="s">
        <v>843</v>
      </c>
      <c r="S662" s="10" t="s">
        <v>869</v>
      </c>
      <c r="T662" s="3"/>
      <c r="U662" s="3"/>
      <c r="V662" s="65" t="s">
        <v>868</v>
      </c>
    </row>
    <row r="663" s="2" customFormat="1" ht="15.75" spans="2:22">
      <c r="B663" s="56">
        <v>257</v>
      </c>
      <c r="C663" s="2">
        <v>662</v>
      </c>
      <c r="D663" s="10" t="s">
        <v>860</v>
      </c>
      <c r="E663" s="10">
        <v>235</v>
      </c>
      <c r="F663" s="10">
        <v>230</v>
      </c>
      <c r="G663" s="52">
        <v>3.3</v>
      </c>
      <c r="H663" s="24">
        <v>0</v>
      </c>
      <c r="I663" s="53"/>
      <c r="J663" s="57"/>
      <c r="K663" s="24">
        <v>0</v>
      </c>
      <c r="L663" s="10">
        <v>0</v>
      </c>
      <c r="M663" s="57"/>
      <c r="N663" s="57"/>
      <c r="O663" s="57"/>
      <c r="P663" s="3"/>
      <c r="Q663" s="3"/>
      <c r="R663" s="10" t="s">
        <v>843</v>
      </c>
      <c r="S663" s="10" t="s">
        <v>869</v>
      </c>
      <c r="T663" s="3"/>
      <c r="U663" s="3"/>
      <c r="V663" s="26" t="s">
        <v>870</v>
      </c>
    </row>
    <row r="664" s="2" customFormat="1" ht="15.75" spans="2:22">
      <c r="B664" s="56">
        <v>258</v>
      </c>
      <c r="C664" s="2">
        <v>663</v>
      </c>
      <c r="D664" s="10" t="s">
        <v>860</v>
      </c>
      <c r="E664" s="10">
        <v>240</v>
      </c>
      <c r="F664" s="10">
        <v>295</v>
      </c>
      <c r="G664" s="52">
        <v>3.3</v>
      </c>
      <c r="H664" s="24">
        <v>0</v>
      </c>
      <c r="I664" s="53"/>
      <c r="J664" s="57"/>
      <c r="K664" s="24">
        <v>0</v>
      </c>
      <c r="L664" s="10">
        <v>0</v>
      </c>
      <c r="M664" s="57"/>
      <c r="N664" s="57"/>
      <c r="O664" s="57"/>
      <c r="P664" s="3"/>
      <c r="Q664" s="3"/>
      <c r="R664" s="10" t="s">
        <v>843</v>
      </c>
      <c r="S664" s="10" t="s">
        <v>869</v>
      </c>
      <c r="T664" s="3"/>
      <c r="U664" s="3"/>
      <c r="V664" s="26" t="s">
        <v>870</v>
      </c>
    </row>
    <row r="665" s="2" customFormat="1" ht="15.75" spans="2:22">
      <c r="B665" s="56">
        <v>259</v>
      </c>
      <c r="C665" s="2">
        <v>664</v>
      </c>
      <c r="D665" s="10" t="s">
        <v>860</v>
      </c>
      <c r="E665" s="10">
        <v>201.7</v>
      </c>
      <c r="F665" s="10">
        <v>288.9</v>
      </c>
      <c r="G665" s="52">
        <v>1.5</v>
      </c>
      <c r="H665" s="24">
        <v>0</v>
      </c>
      <c r="I665" s="53"/>
      <c r="J665" s="57"/>
      <c r="K665" s="24">
        <v>0</v>
      </c>
      <c r="L665" s="10">
        <v>0</v>
      </c>
      <c r="M665" s="57"/>
      <c r="N665" s="57"/>
      <c r="O665" s="57"/>
      <c r="P665" s="3"/>
      <c r="Q665" s="3"/>
      <c r="R665" s="10" t="s">
        <v>843</v>
      </c>
      <c r="S665" s="10" t="s">
        <v>871</v>
      </c>
      <c r="T665" s="3"/>
      <c r="U665" s="3"/>
      <c r="V665" s="26" t="s">
        <v>870</v>
      </c>
    </row>
    <row r="666" s="2" customFormat="1" ht="15.75" spans="2:22">
      <c r="B666" s="56">
        <v>260</v>
      </c>
      <c r="C666" s="2">
        <v>665</v>
      </c>
      <c r="D666" s="10" t="s">
        <v>860</v>
      </c>
      <c r="E666" s="10">
        <v>213.5</v>
      </c>
      <c r="F666" s="10">
        <v>287.6</v>
      </c>
      <c r="G666" s="52">
        <v>1.5</v>
      </c>
      <c r="H666" s="24">
        <v>0</v>
      </c>
      <c r="I666" s="53"/>
      <c r="J666" s="57"/>
      <c r="K666" s="24">
        <v>0</v>
      </c>
      <c r="L666" s="10">
        <v>0</v>
      </c>
      <c r="M666" s="57"/>
      <c r="N666" s="57"/>
      <c r="O666" s="57"/>
      <c r="P666" s="3"/>
      <c r="Q666" s="3"/>
      <c r="R666" s="10" t="s">
        <v>843</v>
      </c>
      <c r="S666" s="10" t="s">
        <v>871</v>
      </c>
      <c r="T666" s="3"/>
      <c r="U666" s="3"/>
      <c r="V666" s="26" t="s">
        <v>870</v>
      </c>
    </row>
    <row r="667" s="2" customFormat="1" ht="15.75" spans="2:22">
      <c r="B667" s="56">
        <v>261</v>
      </c>
      <c r="C667" s="2">
        <v>666</v>
      </c>
      <c r="D667" s="10" t="s">
        <v>860</v>
      </c>
      <c r="E667" s="10">
        <v>201.3</v>
      </c>
      <c r="F667" s="10">
        <v>280.5</v>
      </c>
      <c r="G667" s="52">
        <v>1.5</v>
      </c>
      <c r="H667" s="24">
        <v>0</v>
      </c>
      <c r="I667" s="53"/>
      <c r="J667" s="57"/>
      <c r="K667" s="24">
        <v>0</v>
      </c>
      <c r="L667" s="10">
        <v>0</v>
      </c>
      <c r="M667" s="57"/>
      <c r="N667" s="57"/>
      <c r="O667" s="57"/>
      <c r="P667" s="3"/>
      <c r="Q667" s="3"/>
      <c r="R667" s="10" t="s">
        <v>843</v>
      </c>
      <c r="S667" s="10" t="s">
        <v>871</v>
      </c>
      <c r="T667" s="3"/>
      <c r="U667" s="3"/>
      <c r="V667" s="26" t="s">
        <v>870</v>
      </c>
    </row>
    <row r="668" s="2" customFormat="1" ht="15.75" spans="2:22">
      <c r="B668" s="56">
        <v>262</v>
      </c>
      <c r="C668" s="2">
        <v>667</v>
      </c>
      <c r="D668" s="10" t="s">
        <v>860</v>
      </c>
      <c r="E668" s="10">
        <v>197.7</v>
      </c>
      <c r="F668" s="10">
        <v>279.9</v>
      </c>
      <c r="G668" s="52">
        <v>0.8</v>
      </c>
      <c r="H668" s="24">
        <v>0</v>
      </c>
      <c r="I668" s="53"/>
      <c r="J668" s="57"/>
      <c r="K668" s="24">
        <v>0</v>
      </c>
      <c r="L668" s="10">
        <v>0</v>
      </c>
      <c r="M668" s="57"/>
      <c r="N668" s="57"/>
      <c r="O668" s="57"/>
      <c r="P668" s="3"/>
      <c r="Q668" s="3"/>
      <c r="R668" s="10" t="s">
        <v>843</v>
      </c>
      <c r="S668" s="10" t="s">
        <v>872</v>
      </c>
      <c r="T668" s="3"/>
      <c r="U668" s="3"/>
      <c r="V668" s="26" t="s">
        <v>870</v>
      </c>
    </row>
    <row r="669" s="2" customFormat="1" ht="15.75" spans="2:22">
      <c r="B669" s="56">
        <v>263</v>
      </c>
      <c r="C669" s="2">
        <v>668</v>
      </c>
      <c r="D669" s="10" t="s">
        <v>860</v>
      </c>
      <c r="E669" s="10">
        <v>185.5</v>
      </c>
      <c r="F669" s="10">
        <v>277.3</v>
      </c>
      <c r="G669" s="52">
        <v>0.8</v>
      </c>
      <c r="H669" s="24">
        <v>0</v>
      </c>
      <c r="I669" s="53"/>
      <c r="J669" s="57"/>
      <c r="K669" s="24">
        <v>0</v>
      </c>
      <c r="L669" s="10">
        <v>0</v>
      </c>
      <c r="M669" s="57"/>
      <c r="N669" s="57"/>
      <c r="O669" s="57"/>
      <c r="P669" s="3"/>
      <c r="Q669" s="3"/>
      <c r="R669" s="10" t="s">
        <v>843</v>
      </c>
      <c r="S669" s="10" t="s">
        <v>872</v>
      </c>
      <c r="T669" s="3"/>
      <c r="U669" s="3"/>
      <c r="V669" s="26" t="s">
        <v>870</v>
      </c>
    </row>
    <row r="670" s="2" customFormat="1" ht="15.75" spans="2:22">
      <c r="B670" s="56">
        <v>264</v>
      </c>
      <c r="C670" s="2">
        <v>669</v>
      </c>
      <c r="D670" s="10" t="s">
        <v>860</v>
      </c>
      <c r="E670" s="10">
        <v>187.3</v>
      </c>
      <c r="F670" s="10">
        <v>279.7</v>
      </c>
      <c r="G670" s="52">
        <v>0.8</v>
      </c>
      <c r="H670" s="24">
        <v>0</v>
      </c>
      <c r="I670" s="53"/>
      <c r="J670" s="57"/>
      <c r="K670" s="24">
        <v>0</v>
      </c>
      <c r="L670" s="10">
        <v>0</v>
      </c>
      <c r="M670" s="57"/>
      <c r="N670" s="57"/>
      <c r="O670" s="57"/>
      <c r="P670" s="3"/>
      <c r="Q670" s="3"/>
      <c r="R670" s="10" t="s">
        <v>843</v>
      </c>
      <c r="S670" s="10" t="s">
        <v>872</v>
      </c>
      <c r="T670" s="3"/>
      <c r="U670" s="3"/>
      <c r="V670" s="26" t="s">
        <v>870</v>
      </c>
    </row>
    <row r="671" s="2" customFormat="1" ht="15.75" spans="2:22">
      <c r="B671" s="56">
        <v>265</v>
      </c>
      <c r="C671" s="2">
        <v>670</v>
      </c>
      <c r="D671" s="10" t="s">
        <v>860</v>
      </c>
      <c r="E671" s="10">
        <v>210</v>
      </c>
      <c r="F671" s="10">
        <v>290</v>
      </c>
      <c r="G671" s="52">
        <v>50</v>
      </c>
      <c r="H671" s="24">
        <v>0</v>
      </c>
      <c r="I671" s="53"/>
      <c r="J671" s="57"/>
      <c r="K671" s="24">
        <v>0</v>
      </c>
      <c r="L671" s="10">
        <v>0</v>
      </c>
      <c r="M671" s="57"/>
      <c r="N671" s="57"/>
      <c r="O671" s="57"/>
      <c r="P671" s="3"/>
      <c r="Q671" s="3"/>
      <c r="R671" s="36" t="s">
        <v>63</v>
      </c>
      <c r="S671" s="10" t="s">
        <v>730</v>
      </c>
      <c r="T671" s="3"/>
      <c r="U671" s="3"/>
      <c r="V671" s="73" t="s">
        <v>873</v>
      </c>
    </row>
    <row r="672" s="2" customFormat="1" ht="15.75" spans="2:22">
      <c r="B672" s="56">
        <v>266</v>
      </c>
      <c r="C672" s="2">
        <v>671</v>
      </c>
      <c r="D672" s="10" t="s">
        <v>860</v>
      </c>
      <c r="E672" s="10">
        <v>150</v>
      </c>
      <c r="F672" s="10">
        <v>300</v>
      </c>
      <c r="G672" s="52">
        <v>5.53</v>
      </c>
      <c r="H672" s="24">
        <v>0</v>
      </c>
      <c r="I672" s="53"/>
      <c r="J672" s="57"/>
      <c r="K672" s="24">
        <v>0</v>
      </c>
      <c r="L672" s="10">
        <v>0</v>
      </c>
      <c r="M672" s="57"/>
      <c r="N672" s="57"/>
      <c r="O672" s="57"/>
      <c r="P672" s="3"/>
      <c r="Q672" s="3"/>
      <c r="R672" s="10" t="s">
        <v>843</v>
      </c>
      <c r="S672" s="10" t="s">
        <v>815</v>
      </c>
      <c r="T672" s="3"/>
      <c r="U672" s="3"/>
      <c r="V672" s="73" t="s">
        <v>873</v>
      </c>
    </row>
    <row r="673" s="2" customFormat="1" ht="15.75" spans="2:22">
      <c r="B673" s="56">
        <v>267</v>
      </c>
      <c r="C673" s="2">
        <v>672</v>
      </c>
      <c r="D673" s="10" t="s">
        <v>860</v>
      </c>
      <c r="E673" s="10">
        <v>110</v>
      </c>
      <c r="F673" s="10">
        <v>290</v>
      </c>
      <c r="G673" s="52">
        <v>5.42</v>
      </c>
      <c r="H673" s="24">
        <v>0</v>
      </c>
      <c r="I673" s="53"/>
      <c r="J673" s="57"/>
      <c r="K673" s="24">
        <v>0</v>
      </c>
      <c r="L673" s="10">
        <v>0</v>
      </c>
      <c r="M673" s="57"/>
      <c r="N673" s="57"/>
      <c r="O673" s="57"/>
      <c r="P673" s="3"/>
      <c r="Q673" s="3"/>
      <c r="R673" s="10" t="s">
        <v>843</v>
      </c>
      <c r="S673" s="10" t="s">
        <v>815</v>
      </c>
      <c r="T673" s="3"/>
      <c r="U673" s="3"/>
      <c r="V673" s="73" t="s">
        <v>873</v>
      </c>
    </row>
    <row r="674" s="2" customFormat="1" ht="15.75" spans="2:22">
      <c r="B674" s="56">
        <v>268</v>
      </c>
      <c r="C674" s="2">
        <v>673</v>
      </c>
      <c r="D674" s="10" t="s">
        <v>860</v>
      </c>
      <c r="E674" s="10">
        <v>55</v>
      </c>
      <c r="F674" s="10">
        <v>270</v>
      </c>
      <c r="G674" s="52">
        <v>5.37</v>
      </c>
      <c r="H674" s="24">
        <v>0</v>
      </c>
      <c r="I674" s="53"/>
      <c r="J674" s="57"/>
      <c r="K674" s="24">
        <v>0</v>
      </c>
      <c r="L674" s="10">
        <v>0</v>
      </c>
      <c r="M674" s="57"/>
      <c r="N674" s="57"/>
      <c r="O674" s="57"/>
      <c r="P674" s="3"/>
      <c r="Q674" s="3"/>
      <c r="R674" s="10" t="s">
        <v>843</v>
      </c>
      <c r="S674" s="10" t="s">
        <v>815</v>
      </c>
      <c r="T674" s="3"/>
      <c r="U674" s="3"/>
      <c r="V674" s="73" t="s">
        <v>873</v>
      </c>
    </row>
    <row r="675" s="2" customFormat="1" ht="15.75" spans="2:22">
      <c r="B675" s="56">
        <v>269</v>
      </c>
      <c r="C675" s="2">
        <v>674</v>
      </c>
      <c r="D675" s="10" t="s">
        <v>874</v>
      </c>
      <c r="E675" s="10">
        <v>180</v>
      </c>
      <c r="F675" s="10">
        <v>300</v>
      </c>
      <c r="G675" s="52">
        <v>100</v>
      </c>
      <c r="H675" s="24">
        <v>0</v>
      </c>
      <c r="I675" s="53"/>
      <c r="J675" s="57"/>
      <c r="K675" s="24">
        <v>0</v>
      </c>
      <c r="L675" s="10">
        <v>0</v>
      </c>
      <c r="M675" s="57"/>
      <c r="N675" s="57"/>
      <c r="O675" s="57"/>
      <c r="P675" s="3"/>
      <c r="Q675" s="3"/>
      <c r="R675" s="10" t="s">
        <v>875</v>
      </c>
      <c r="S675" s="10" t="s">
        <v>876</v>
      </c>
      <c r="T675" s="3"/>
      <c r="U675" s="3"/>
      <c r="V675" s="26" t="s">
        <v>877</v>
      </c>
    </row>
    <row r="676" s="2" customFormat="1" ht="15.75" spans="2:22">
      <c r="B676" s="56">
        <v>270</v>
      </c>
      <c r="C676" s="2">
        <v>675</v>
      </c>
      <c r="D676" s="10" t="s">
        <v>874</v>
      </c>
      <c r="E676" s="10">
        <v>210</v>
      </c>
      <c r="F676" s="10">
        <v>320</v>
      </c>
      <c r="G676" s="52">
        <v>100</v>
      </c>
      <c r="H676" s="24">
        <v>0</v>
      </c>
      <c r="I676" s="53"/>
      <c r="J676" s="57"/>
      <c r="K676" s="24">
        <v>0</v>
      </c>
      <c r="L676" s="10">
        <v>0</v>
      </c>
      <c r="M676" s="57"/>
      <c r="N676" s="57"/>
      <c r="O676" s="57"/>
      <c r="P676" s="3"/>
      <c r="Q676" s="3"/>
      <c r="R676" s="10" t="s">
        <v>875</v>
      </c>
      <c r="S676" s="10" t="s">
        <v>878</v>
      </c>
      <c r="T676" s="3"/>
      <c r="U676" s="3"/>
      <c r="V676" s="26" t="s">
        <v>877</v>
      </c>
    </row>
    <row r="677" s="2" customFormat="1" ht="15.75" spans="2:22">
      <c r="B677" s="56">
        <v>271</v>
      </c>
      <c r="C677" s="2">
        <v>676</v>
      </c>
      <c r="D677" s="10" t="s">
        <v>874</v>
      </c>
      <c r="E677" s="10">
        <v>210</v>
      </c>
      <c r="F677" s="10">
        <v>320</v>
      </c>
      <c r="G677" s="52">
        <v>10</v>
      </c>
      <c r="H677" s="24">
        <v>0</v>
      </c>
      <c r="I677" s="53"/>
      <c r="J677" s="57"/>
      <c r="K677" s="24">
        <v>0</v>
      </c>
      <c r="L677" s="10">
        <v>0</v>
      </c>
      <c r="M677" s="57"/>
      <c r="N677" s="57"/>
      <c r="O677" s="57"/>
      <c r="P677" s="3"/>
      <c r="Q677" s="3"/>
      <c r="R677" s="10" t="s">
        <v>875</v>
      </c>
      <c r="S677" s="10" t="s">
        <v>879</v>
      </c>
      <c r="T677" s="3"/>
      <c r="U677" s="3"/>
      <c r="V677" s="26" t="s">
        <v>877</v>
      </c>
    </row>
    <row r="678" s="2" customFormat="1" ht="15.75" spans="2:22">
      <c r="B678" s="56">
        <v>272</v>
      </c>
      <c r="C678" s="2">
        <v>677</v>
      </c>
      <c r="D678" s="10" t="s">
        <v>874</v>
      </c>
      <c r="E678" s="10">
        <v>80</v>
      </c>
      <c r="F678" s="10">
        <v>295</v>
      </c>
      <c r="G678" s="52">
        <v>10</v>
      </c>
      <c r="H678" s="24">
        <v>0</v>
      </c>
      <c r="I678" s="53"/>
      <c r="J678" s="57"/>
      <c r="K678" s="24">
        <v>0</v>
      </c>
      <c r="L678" s="10">
        <v>0</v>
      </c>
      <c r="M678" s="57"/>
      <c r="N678" s="57"/>
      <c r="O678" s="57"/>
      <c r="P678" s="3"/>
      <c r="Q678" s="3"/>
      <c r="R678" s="10" t="s">
        <v>875</v>
      </c>
      <c r="S678" s="10" t="s">
        <v>880</v>
      </c>
      <c r="T678" s="3"/>
      <c r="U678" s="3"/>
      <c r="V678" s="26" t="s">
        <v>877</v>
      </c>
    </row>
    <row r="679" s="2" customFormat="1" ht="15.75" spans="2:22">
      <c r="B679" s="56">
        <v>273</v>
      </c>
      <c r="C679" s="2">
        <v>678</v>
      </c>
      <c r="D679" s="10" t="s">
        <v>874</v>
      </c>
      <c r="E679" s="10">
        <v>160</v>
      </c>
      <c r="F679" s="10">
        <v>325</v>
      </c>
      <c r="G679" s="52">
        <v>5</v>
      </c>
      <c r="H679" s="24">
        <v>0</v>
      </c>
      <c r="I679" s="53"/>
      <c r="J679" s="57"/>
      <c r="K679" s="24">
        <v>0</v>
      </c>
      <c r="L679" s="10">
        <v>0</v>
      </c>
      <c r="M679" s="57"/>
      <c r="N679" s="57"/>
      <c r="O679" s="57"/>
      <c r="P679" s="3"/>
      <c r="Q679" s="3"/>
      <c r="R679" s="10" t="s">
        <v>875</v>
      </c>
      <c r="S679" s="10" t="s">
        <v>881</v>
      </c>
      <c r="T679" s="3"/>
      <c r="U679" s="3"/>
      <c r="V679" s="26" t="s">
        <v>877</v>
      </c>
    </row>
    <row r="680" s="2" customFormat="1" ht="15.75" spans="2:22">
      <c r="B680" s="56">
        <v>274</v>
      </c>
      <c r="C680" s="2">
        <v>679</v>
      </c>
      <c r="D680" s="10" t="s">
        <v>874</v>
      </c>
      <c r="E680" s="10">
        <v>200</v>
      </c>
      <c r="F680" s="10">
        <v>325</v>
      </c>
      <c r="G680" s="52">
        <v>5</v>
      </c>
      <c r="H680" s="24">
        <v>0</v>
      </c>
      <c r="I680" s="53"/>
      <c r="J680" s="57"/>
      <c r="K680" s="24">
        <v>0</v>
      </c>
      <c r="L680" s="10">
        <v>0</v>
      </c>
      <c r="M680" s="57"/>
      <c r="N680" s="57"/>
      <c r="O680" s="57"/>
      <c r="P680" s="3"/>
      <c r="Q680" s="3"/>
      <c r="R680" s="10" t="s">
        <v>875</v>
      </c>
      <c r="S680" s="10" t="s">
        <v>882</v>
      </c>
      <c r="T680" s="3"/>
      <c r="U680" s="3"/>
      <c r="V680" s="26" t="s">
        <v>877</v>
      </c>
    </row>
    <row r="681" s="2" customFormat="1" ht="15.75" spans="2:22">
      <c r="B681" s="56">
        <v>275</v>
      </c>
      <c r="C681" s="2">
        <v>680</v>
      </c>
      <c r="D681" s="10" t="s">
        <v>860</v>
      </c>
      <c r="E681" s="10">
        <v>120</v>
      </c>
      <c r="F681" s="10">
        <v>128</v>
      </c>
      <c r="G681" s="52">
        <v>33</v>
      </c>
      <c r="H681" s="24">
        <v>0</v>
      </c>
      <c r="I681" s="53"/>
      <c r="J681" s="57"/>
      <c r="K681" s="24">
        <v>0</v>
      </c>
      <c r="L681" s="10">
        <v>0</v>
      </c>
      <c r="M681" s="57"/>
      <c r="N681" s="57"/>
      <c r="O681" s="57"/>
      <c r="P681" s="3"/>
      <c r="Q681" s="3"/>
      <c r="R681" s="10" t="s">
        <v>883</v>
      </c>
      <c r="S681" s="10" t="s">
        <v>884</v>
      </c>
      <c r="T681" s="3"/>
      <c r="U681" s="3"/>
      <c r="V681" s="74" t="s">
        <v>885</v>
      </c>
    </row>
    <row r="682" s="2" customFormat="1" ht="15.75" spans="2:22">
      <c r="B682" s="56">
        <v>276</v>
      </c>
      <c r="C682" s="2">
        <v>681</v>
      </c>
      <c r="D682" s="10" t="s">
        <v>860</v>
      </c>
      <c r="E682" s="10">
        <v>130</v>
      </c>
      <c r="F682" s="10">
        <v>135</v>
      </c>
      <c r="G682" s="52">
        <v>16</v>
      </c>
      <c r="H682" s="24">
        <v>0</v>
      </c>
      <c r="I682" s="53"/>
      <c r="J682" s="57"/>
      <c r="K682" s="24">
        <v>0</v>
      </c>
      <c r="L682" s="10">
        <v>0</v>
      </c>
      <c r="M682" s="57"/>
      <c r="N682" s="57"/>
      <c r="O682" s="57"/>
      <c r="P682" s="3"/>
      <c r="Q682" s="3"/>
      <c r="R682" s="10" t="s">
        <v>886</v>
      </c>
      <c r="S682" s="10" t="s">
        <v>887</v>
      </c>
      <c r="T682" s="3"/>
      <c r="U682" s="3"/>
      <c r="V682" s="74" t="s">
        <v>885</v>
      </c>
    </row>
    <row r="683" s="2" customFormat="1" ht="15.75" spans="2:22">
      <c r="B683" s="56">
        <v>277</v>
      </c>
      <c r="C683" s="2">
        <v>682</v>
      </c>
      <c r="D683" s="10" t="s">
        <v>860</v>
      </c>
      <c r="E683" s="10">
        <v>130</v>
      </c>
      <c r="F683" s="10">
        <v>140</v>
      </c>
      <c r="G683" s="52">
        <v>15</v>
      </c>
      <c r="H683" s="24">
        <v>0</v>
      </c>
      <c r="I683" s="53"/>
      <c r="J683" s="57"/>
      <c r="K683" s="24">
        <v>0</v>
      </c>
      <c r="L683" s="10">
        <v>0</v>
      </c>
      <c r="M683" s="57"/>
      <c r="N683" s="57"/>
      <c r="O683" s="57"/>
      <c r="P683" s="3"/>
      <c r="Q683" s="3"/>
      <c r="R683" s="10" t="s">
        <v>886</v>
      </c>
      <c r="S683" s="10" t="s">
        <v>888</v>
      </c>
      <c r="T683" s="3"/>
      <c r="U683" s="3"/>
      <c r="V683" s="74" t="s">
        <v>885</v>
      </c>
    </row>
    <row r="684" s="2" customFormat="1" ht="15.75" spans="2:22">
      <c r="B684" s="56">
        <v>278</v>
      </c>
      <c r="C684" s="2">
        <v>683</v>
      </c>
      <c r="D684" s="10" t="s">
        <v>860</v>
      </c>
      <c r="E684" s="10">
        <v>135</v>
      </c>
      <c r="F684" s="10">
        <v>145</v>
      </c>
      <c r="G684" s="52">
        <v>9</v>
      </c>
      <c r="H684" s="24">
        <v>0</v>
      </c>
      <c r="I684" s="53"/>
      <c r="J684" s="57"/>
      <c r="K684" s="24">
        <v>0</v>
      </c>
      <c r="L684" s="10">
        <v>0</v>
      </c>
      <c r="M684" s="57"/>
      <c r="N684" s="57"/>
      <c r="O684" s="57"/>
      <c r="P684" s="3"/>
      <c r="Q684" s="3"/>
      <c r="R684" s="10" t="s">
        <v>886</v>
      </c>
      <c r="S684" s="10" t="s">
        <v>889</v>
      </c>
      <c r="T684" s="3"/>
      <c r="U684" s="3"/>
      <c r="V684" s="74" t="s">
        <v>885</v>
      </c>
    </row>
    <row r="685" s="2" customFormat="1" ht="15.75" spans="2:22">
      <c r="B685" s="56">
        <v>279</v>
      </c>
      <c r="C685" s="2">
        <v>684</v>
      </c>
      <c r="D685" s="10" t="s">
        <v>860</v>
      </c>
      <c r="E685" s="10">
        <v>130</v>
      </c>
      <c r="F685" s="10">
        <v>143</v>
      </c>
      <c r="G685" s="52">
        <v>27</v>
      </c>
      <c r="H685" s="24">
        <v>0</v>
      </c>
      <c r="I685" s="53"/>
      <c r="J685" s="57"/>
      <c r="K685" s="24">
        <v>0</v>
      </c>
      <c r="L685" s="10">
        <v>0</v>
      </c>
      <c r="M685" s="57"/>
      <c r="N685" s="57"/>
      <c r="O685" s="57"/>
      <c r="P685" s="3"/>
      <c r="Q685" s="3"/>
      <c r="R685" s="10" t="s">
        <v>886</v>
      </c>
      <c r="S685" s="24" t="s">
        <v>890</v>
      </c>
      <c r="T685" s="3"/>
      <c r="U685" s="3"/>
      <c r="V685" s="74" t="s">
        <v>885</v>
      </c>
    </row>
    <row r="686" s="2" customFormat="1" ht="15.75" spans="2:22">
      <c r="B686" s="56">
        <v>280</v>
      </c>
      <c r="C686" s="2">
        <v>685</v>
      </c>
      <c r="D686" s="10" t="s">
        <v>860</v>
      </c>
      <c r="E686" s="10">
        <v>128</v>
      </c>
      <c r="F686" s="10">
        <v>135</v>
      </c>
      <c r="G686" s="52">
        <v>33</v>
      </c>
      <c r="H686" s="24">
        <v>0</v>
      </c>
      <c r="I686" s="53"/>
      <c r="J686" s="57"/>
      <c r="K686" s="24">
        <v>0</v>
      </c>
      <c r="L686" s="10">
        <v>0</v>
      </c>
      <c r="M686" s="57"/>
      <c r="N686" s="57"/>
      <c r="O686" s="57"/>
      <c r="P686" s="3"/>
      <c r="Q686" s="3"/>
      <c r="R686" s="10" t="s">
        <v>886</v>
      </c>
      <c r="S686" s="10" t="s">
        <v>891</v>
      </c>
      <c r="T686" s="3"/>
      <c r="U686" s="3"/>
      <c r="V686" s="74" t="s">
        <v>885</v>
      </c>
    </row>
    <row r="687" s="2" customFormat="1" ht="15.75" spans="2:22">
      <c r="B687" s="56">
        <v>281</v>
      </c>
      <c r="C687" s="2">
        <v>686</v>
      </c>
      <c r="D687" s="10" t="s">
        <v>860</v>
      </c>
      <c r="E687" s="10">
        <v>130</v>
      </c>
      <c r="F687" s="10">
        <v>150</v>
      </c>
      <c r="G687" s="52">
        <v>16</v>
      </c>
      <c r="H687" s="24">
        <v>0</v>
      </c>
      <c r="I687" s="53"/>
      <c r="J687" s="57"/>
      <c r="K687" s="24">
        <v>0</v>
      </c>
      <c r="L687" s="10">
        <v>0</v>
      </c>
      <c r="M687" s="57"/>
      <c r="N687" s="57"/>
      <c r="O687" s="57"/>
      <c r="P687" s="3"/>
      <c r="Q687" s="3"/>
      <c r="R687" s="10" t="s">
        <v>886</v>
      </c>
      <c r="S687" s="10" t="s">
        <v>892</v>
      </c>
      <c r="T687" s="3"/>
      <c r="U687" s="3"/>
      <c r="V687" s="74" t="s">
        <v>885</v>
      </c>
    </row>
    <row r="688" s="2" customFormat="1" ht="15.75" spans="2:22">
      <c r="B688" s="56">
        <v>282</v>
      </c>
      <c r="C688" s="2">
        <v>687</v>
      </c>
      <c r="D688" s="10" t="s">
        <v>860</v>
      </c>
      <c r="E688" s="10">
        <v>130</v>
      </c>
      <c r="F688" s="10">
        <v>155</v>
      </c>
      <c r="G688" s="52">
        <v>15</v>
      </c>
      <c r="H688" s="24">
        <v>0</v>
      </c>
      <c r="I688" s="53"/>
      <c r="J688" s="57"/>
      <c r="K688" s="24">
        <v>0</v>
      </c>
      <c r="L688" s="10">
        <v>0</v>
      </c>
      <c r="M688" s="57"/>
      <c r="N688" s="57"/>
      <c r="O688" s="57"/>
      <c r="P688" s="3"/>
      <c r="Q688" s="3"/>
      <c r="R688" s="10" t="s">
        <v>886</v>
      </c>
      <c r="S688" s="10" t="s">
        <v>893</v>
      </c>
      <c r="T688" s="3"/>
      <c r="U688" s="3"/>
      <c r="V688" s="74" t="s">
        <v>885</v>
      </c>
    </row>
    <row r="689" s="2" customFormat="1" ht="15.75" spans="2:22">
      <c r="B689" s="56">
        <v>283</v>
      </c>
      <c r="C689" s="2">
        <v>688</v>
      </c>
      <c r="D689" s="10" t="s">
        <v>860</v>
      </c>
      <c r="E689" s="10">
        <v>135</v>
      </c>
      <c r="F689" s="10">
        <v>160</v>
      </c>
      <c r="G689" s="52">
        <v>9</v>
      </c>
      <c r="H689" s="24">
        <v>0</v>
      </c>
      <c r="I689" s="53"/>
      <c r="J689" s="57"/>
      <c r="K689" s="24">
        <v>0</v>
      </c>
      <c r="L689" s="10">
        <v>0</v>
      </c>
      <c r="M689" s="57"/>
      <c r="N689" s="57"/>
      <c r="O689" s="57"/>
      <c r="P689" s="3"/>
      <c r="Q689" s="3"/>
      <c r="R689" s="10" t="s">
        <v>886</v>
      </c>
      <c r="S689" s="24" t="s">
        <v>894</v>
      </c>
      <c r="T689" s="3"/>
      <c r="U689" s="3"/>
      <c r="V689" s="74" t="s">
        <v>885</v>
      </c>
    </row>
    <row r="690" s="2" customFormat="1" ht="15.75" spans="2:22">
      <c r="B690" s="56">
        <v>284</v>
      </c>
      <c r="C690" s="2">
        <v>689</v>
      </c>
      <c r="D690" s="10" t="s">
        <v>895</v>
      </c>
      <c r="E690" s="10">
        <v>135</v>
      </c>
      <c r="F690" s="10">
        <v>155</v>
      </c>
      <c r="G690" s="52">
        <v>27</v>
      </c>
      <c r="H690" s="24">
        <v>0</v>
      </c>
      <c r="I690" s="53"/>
      <c r="J690" s="57"/>
      <c r="K690" s="24">
        <v>0</v>
      </c>
      <c r="L690" s="10">
        <v>0</v>
      </c>
      <c r="M690" s="57"/>
      <c r="N690" s="57"/>
      <c r="O690" s="57"/>
      <c r="P690" s="3"/>
      <c r="Q690" s="3"/>
      <c r="R690" s="10" t="s">
        <v>896</v>
      </c>
      <c r="S690" s="10" t="s">
        <v>897</v>
      </c>
      <c r="T690" s="3"/>
      <c r="U690" s="3"/>
      <c r="V690" s="74" t="s">
        <v>885</v>
      </c>
    </row>
    <row r="691" s="2" customFormat="1" ht="15.75" spans="2:22">
      <c r="B691" s="56">
        <v>285</v>
      </c>
      <c r="C691" s="2">
        <v>690</v>
      </c>
      <c r="D691" s="10" t="s">
        <v>895</v>
      </c>
      <c r="E691" s="10">
        <v>171.8</v>
      </c>
      <c r="F691" s="10">
        <v>263.7</v>
      </c>
      <c r="G691" s="52">
        <v>9.75</v>
      </c>
      <c r="H691" s="24">
        <v>0</v>
      </c>
      <c r="I691" s="53"/>
      <c r="J691" s="57"/>
      <c r="K691" s="24">
        <v>0</v>
      </c>
      <c r="L691" s="10">
        <v>0</v>
      </c>
      <c r="M691" s="57"/>
      <c r="N691" s="57"/>
      <c r="O691" s="57"/>
      <c r="P691" s="3"/>
      <c r="Q691" s="3"/>
      <c r="R691" s="10" t="s">
        <v>875</v>
      </c>
      <c r="S691" s="10" t="s">
        <v>898</v>
      </c>
      <c r="T691" s="3"/>
      <c r="U691" s="3"/>
      <c r="V691" s="75" t="s">
        <v>899</v>
      </c>
    </row>
    <row r="692" s="2" customFormat="1" ht="15.75" spans="2:22">
      <c r="B692" s="56">
        <v>286</v>
      </c>
      <c r="C692" s="2">
        <v>691</v>
      </c>
      <c r="D692" s="10" t="s">
        <v>900</v>
      </c>
      <c r="E692" s="10">
        <v>198.8</v>
      </c>
      <c r="F692" s="10">
        <v>263.9</v>
      </c>
      <c r="G692" s="52">
        <v>9</v>
      </c>
      <c r="H692" s="24">
        <v>0</v>
      </c>
      <c r="I692" s="53"/>
      <c r="J692" s="57"/>
      <c r="K692" s="24">
        <v>0</v>
      </c>
      <c r="L692" s="10">
        <v>0</v>
      </c>
      <c r="M692" s="57"/>
      <c r="N692" s="57"/>
      <c r="O692" s="57"/>
      <c r="P692" s="3"/>
      <c r="Q692" s="3"/>
      <c r="R692" s="10" t="s">
        <v>896</v>
      </c>
      <c r="S692" s="10" t="s">
        <v>897</v>
      </c>
      <c r="T692" s="3"/>
      <c r="U692" s="3"/>
      <c r="V692" s="75" t="s">
        <v>899</v>
      </c>
    </row>
    <row r="693" s="2" customFormat="1" ht="15.75" spans="2:22">
      <c r="B693" s="56">
        <v>287</v>
      </c>
      <c r="C693" s="2">
        <v>692</v>
      </c>
      <c r="D693" s="10" t="s">
        <v>900</v>
      </c>
      <c r="E693" s="10">
        <v>157.2</v>
      </c>
      <c r="F693" s="10">
        <v>202.5</v>
      </c>
      <c r="G693" s="52">
        <v>7.89</v>
      </c>
      <c r="H693" s="24">
        <v>0</v>
      </c>
      <c r="I693" s="53"/>
      <c r="J693" s="57"/>
      <c r="K693" s="24">
        <v>0</v>
      </c>
      <c r="L693" s="10">
        <v>0</v>
      </c>
      <c r="M693" s="57"/>
      <c r="N693" s="57"/>
      <c r="O693" s="57"/>
      <c r="P693" s="3"/>
      <c r="Q693" s="3"/>
      <c r="R693" s="10" t="s">
        <v>875</v>
      </c>
      <c r="S693" s="10" t="s">
        <v>898</v>
      </c>
      <c r="T693" s="3"/>
      <c r="U693" s="3"/>
      <c r="V693" s="75" t="s">
        <v>899</v>
      </c>
    </row>
    <row r="694" s="2" customFormat="1" ht="15.75" spans="2:22">
      <c r="B694" s="56">
        <v>288</v>
      </c>
      <c r="C694" s="2">
        <v>693</v>
      </c>
      <c r="D694" s="10" t="s">
        <v>900</v>
      </c>
      <c r="E694" s="10">
        <v>240.3</v>
      </c>
      <c r="F694" s="10">
        <v>293.6</v>
      </c>
      <c r="G694" s="52">
        <v>8</v>
      </c>
      <c r="H694" s="24">
        <v>0</v>
      </c>
      <c r="I694" s="53"/>
      <c r="J694" s="57"/>
      <c r="K694" s="24">
        <v>0</v>
      </c>
      <c r="L694" s="10">
        <v>0</v>
      </c>
      <c r="M694" s="57"/>
      <c r="N694" s="57"/>
      <c r="O694" s="57"/>
      <c r="P694" s="3"/>
      <c r="Q694" s="3"/>
      <c r="R694" s="10" t="s">
        <v>519</v>
      </c>
      <c r="S694" s="10"/>
      <c r="T694" s="3"/>
      <c r="U694" s="3"/>
      <c r="V694" s="75" t="s">
        <v>899</v>
      </c>
    </row>
    <row r="695" s="2" customFormat="1" ht="15.75" spans="2:22">
      <c r="B695" s="56">
        <v>289</v>
      </c>
      <c r="C695" s="2">
        <v>694</v>
      </c>
      <c r="D695" s="10" t="s">
        <v>860</v>
      </c>
      <c r="E695" s="10">
        <v>191</v>
      </c>
      <c r="F695" s="10">
        <v>268</v>
      </c>
      <c r="G695" s="52">
        <v>12.1</v>
      </c>
      <c r="H695" s="24">
        <v>0</v>
      </c>
      <c r="I695" s="53"/>
      <c r="J695" s="57"/>
      <c r="K695" s="24">
        <v>0</v>
      </c>
      <c r="L695" s="10">
        <v>0</v>
      </c>
      <c r="M695" s="57"/>
      <c r="N695" s="57"/>
      <c r="O695" s="57"/>
      <c r="P695" s="3"/>
      <c r="Q695" s="3"/>
      <c r="R695" s="10" t="s">
        <v>519</v>
      </c>
      <c r="S695" s="10"/>
      <c r="T695" s="3"/>
      <c r="U695" s="3"/>
      <c r="V695" s="59" t="s">
        <v>901</v>
      </c>
    </row>
    <row r="696" s="2" customFormat="1" ht="15.75" spans="2:22">
      <c r="B696" s="56">
        <v>290</v>
      </c>
      <c r="C696" s="2">
        <v>695</v>
      </c>
      <c r="D696" s="10" t="s">
        <v>860</v>
      </c>
      <c r="E696" s="10">
        <v>201</v>
      </c>
      <c r="F696" s="10">
        <v>272</v>
      </c>
      <c r="G696" s="52">
        <v>13.8</v>
      </c>
      <c r="H696" s="24">
        <v>0</v>
      </c>
      <c r="I696" s="53"/>
      <c r="J696" s="57"/>
      <c r="K696" s="24">
        <v>0</v>
      </c>
      <c r="L696" s="10">
        <v>0</v>
      </c>
      <c r="M696" s="57"/>
      <c r="N696" s="57"/>
      <c r="O696" s="57"/>
      <c r="P696" s="3"/>
      <c r="Q696" s="3"/>
      <c r="R696" s="10" t="s">
        <v>519</v>
      </c>
      <c r="S696" s="10"/>
      <c r="T696" s="3"/>
      <c r="U696" s="3"/>
      <c r="V696" s="59" t="s">
        <v>901</v>
      </c>
    </row>
    <row r="697" s="2" customFormat="1" ht="15.75" spans="2:22">
      <c r="B697" s="56">
        <v>291</v>
      </c>
      <c r="C697" s="2">
        <v>696</v>
      </c>
      <c r="D697" s="10" t="s">
        <v>902</v>
      </c>
      <c r="E697" s="10">
        <v>211</v>
      </c>
      <c r="F697" s="10">
        <v>324</v>
      </c>
      <c r="G697" s="52">
        <v>20.1</v>
      </c>
      <c r="H697" s="24">
        <v>0</v>
      </c>
      <c r="I697" s="53"/>
      <c r="J697" s="57"/>
      <c r="K697" s="24">
        <v>0</v>
      </c>
      <c r="L697" s="10">
        <v>0</v>
      </c>
      <c r="M697" s="57"/>
      <c r="N697" s="57"/>
      <c r="O697" s="57"/>
      <c r="P697" s="3"/>
      <c r="Q697" s="3"/>
      <c r="R697" s="10" t="s">
        <v>519</v>
      </c>
      <c r="S697" s="10"/>
      <c r="T697" s="3"/>
      <c r="U697" s="3"/>
      <c r="V697" s="59" t="s">
        <v>903</v>
      </c>
    </row>
    <row r="698" s="2" customFormat="1" ht="15.75" spans="2:22">
      <c r="B698" s="56">
        <v>292</v>
      </c>
      <c r="C698" s="2">
        <v>697</v>
      </c>
      <c r="D698" s="10" t="s">
        <v>902</v>
      </c>
      <c r="E698" s="10">
        <v>185</v>
      </c>
      <c r="F698" s="10">
        <v>308</v>
      </c>
      <c r="G698" s="52">
        <v>24.2</v>
      </c>
      <c r="H698" s="24">
        <v>0</v>
      </c>
      <c r="I698" s="53"/>
      <c r="J698" s="57"/>
      <c r="K698" s="24">
        <v>0</v>
      </c>
      <c r="L698" s="10">
        <v>0</v>
      </c>
      <c r="M698" s="57"/>
      <c r="N698" s="57"/>
      <c r="O698" s="57"/>
      <c r="P698" s="3"/>
      <c r="Q698" s="3"/>
      <c r="R698" s="10" t="s">
        <v>519</v>
      </c>
      <c r="S698" s="10"/>
      <c r="T698" s="3"/>
      <c r="U698" s="3"/>
      <c r="V698" s="76" t="s">
        <v>903</v>
      </c>
    </row>
    <row r="699" s="2" customFormat="1" ht="15.75" spans="2:22">
      <c r="B699" s="56">
        <v>293</v>
      </c>
      <c r="C699" s="2">
        <v>698</v>
      </c>
      <c r="D699" s="10" t="s">
        <v>902</v>
      </c>
      <c r="E699" s="10">
        <v>262</v>
      </c>
      <c r="F699" s="10">
        <v>364</v>
      </c>
      <c r="G699" s="52">
        <v>2.6</v>
      </c>
      <c r="H699" s="24">
        <v>0</v>
      </c>
      <c r="I699" s="53"/>
      <c r="J699" s="57"/>
      <c r="K699" s="24">
        <v>0</v>
      </c>
      <c r="L699" s="10">
        <v>0</v>
      </c>
      <c r="M699" s="57"/>
      <c r="N699" s="57"/>
      <c r="O699" s="57"/>
      <c r="P699" s="3"/>
      <c r="Q699" s="3"/>
      <c r="R699" s="10" t="s">
        <v>519</v>
      </c>
      <c r="S699" s="10"/>
      <c r="T699" s="3"/>
      <c r="U699" s="3"/>
      <c r="V699" s="76" t="s">
        <v>903</v>
      </c>
    </row>
    <row r="700" s="2" customFormat="1" ht="15.75" spans="2:22">
      <c r="B700" s="56">
        <v>294</v>
      </c>
      <c r="C700" s="2">
        <v>699</v>
      </c>
      <c r="D700" s="10" t="s">
        <v>902</v>
      </c>
      <c r="E700" s="10">
        <v>206</v>
      </c>
      <c r="F700" s="10">
        <v>323</v>
      </c>
      <c r="G700" s="52">
        <v>10.9</v>
      </c>
      <c r="H700" s="24">
        <v>0</v>
      </c>
      <c r="I700" s="53"/>
      <c r="J700" s="57"/>
      <c r="K700" s="24">
        <v>0</v>
      </c>
      <c r="L700" s="10">
        <v>0</v>
      </c>
      <c r="M700" s="57"/>
      <c r="N700" s="57"/>
      <c r="O700" s="57"/>
      <c r="P700" s="3"/>
      <c r="Q700" s="3"/>
      <c r="R700" s="10" t="s">
        <v>519</v>
      </c>
      <c r="S700" s="10"/>
      <c r="T700" s="3"/>
      <c r="U700" s="3"/>
      <c r="V700" s="76" t="s">
        <v>903</v>
      </c>
    </row>
    <row r="701" s="2" customFormat="1" ht="15.75" spans="2:22">
      <c r="B701" s="56">
        <v>295</v>
      </c>
      <c r="C701" s="2">
        <v>700</v>
      </c>
      <c r="D701" s="10" t="s">
        <v>904</v>
      </c>
      <c r="E701" s="10">
        <v>241</v>
      </c>
      <c r="F701" s="10">
        <v>323</v>
      </c>
      <c r="G701" s="52">
        <v>46.8</v>
      </c>
      <c r="H701" s="24">
        <v>0</v>
      </c>
      <c r="I701" s="53"/>
      <c r="J701" s="57"/>
      <c r="K701" s="24">
        <v>0</v>
      </c>
      <c r="L701" s="10">
        <v>0</v>
      </c>
      <c r="M701" s="57"/>
      <c r="N701" s="57"/>
      <c r="O701" s="57"/>
      <c r="P701" s="3"/>
      <c r="Q701" s="3"/>
      <c r="R701" s="10" t="s">
        <v>519</v>
      </c>
      <c r="S701" s="10"/>
      <c r="T701" s="3"/>
      <c r="U701" s="3"/>
      <c r="V701" s="59" t="s">
        <v>905</v>
      </c>
    </row>
    <row r="702" s="2" customFormat="1" ht="15.75" spans="2:22">
      <c r="B702" s="56">
        <v>296</v>
      </c>
      <c r="C702" s="2">
        <v>701</v>
      </c>
      <c r="D702" s="10" t="s">
        <v>904</v>
      </c>
      <c r="E702" s="10">
        <v>210</v>
      </c>
      <c r="F702" s="10">
        <v>310</v>
      </c>
      <c r="G702" s="52">
        <v>36.2</v>
      </c>
      <c r="H702" s="24">
        <v>0</v>
      </c>
      <c r="I702" s="53"/>
      <c r="J702" s="57"/>
      <c r="K702" s="24">
        <v>0</v>
      </c>
      <c r="L702" s="10">
        <v>0</v>
      </c>
      <c r="M702" s="57"/>
      <c r="N702" s="57"/>
      <c r="O702" s="57"/>
      <c r="P702" s="3"/>
      <c r="Q702" s="3"/>
      <c r="R702" s="10" t="s">
        <v>519</v>
      </c>
      <c r="S702" s="10"/>
      <c r="T702" s="3"/>
      <c r="U702" s="3"/>
      <c r="V702" s="77" t="s">
        <v>905</v>
      </c>
    </row>
    <row r="703" s="2" customFormat="1" ht="15.75" spans="2:22">
      <c r="B703" s="56">
        <v>297</v>
      </c>
      <c r="C703" s="2">
        <v>702</v>
      </c>
      <c r="D703" s="10" t="s">
        <v>904</v>
      </c>
      <c r="E703" s="10">
        <v>194</v>
      </c>
      <c r="F703" s="10">
        <v>327</v>
      </c>
      <c r="G703" s="52">
        <v>20.8</v>
      </c>
      <c r="H703" s="24">
        <v>0</v>
      </c>
      <c r="I703" s="53"/>
      <c r="J703" s="57"/>
      <c r="K703" s="24">
        <v>0</v>
      </c>
      <c r="L703" s="10">
        <v>0</v>
      </c>
      <c r="M703" s="57"/>
      <c r="N703" s="57"/>
      <c r="O703" s="57"/>
      <c r="P703" s="3"/>
      <c r="Q703" s="3"/>
      <c r="R703" s="10" t="s">
        <v>519</v>
      </c>
      <c r="S703" s="10"/>
      <c r="T703" s="3"/>
      <c r="U703" s="3"/>
      <c r="V703" s="77" t="s">
        <v>905</v>
      </c>
    </row>
    <row r="704" s="2" customFormat="1" ht="128.25" spans="2:22">
      <c r="B704" s="56">
        <v>298</v>
      </c>
      <c r="C704" s="10">
        <v>703</v>
      </c>
      <c r="D704" s="10" t="s">
        <v>906</v>
      </c>
      <c r="E704" s="10">
        <v>37.28</v>
      </c>
      <c r="F704" s="10">
        <v>146.18</v>
      </c>
      <c r="G704" s="52">
        <v>310</v>
      </c>
      <c r="H704" s="24">
        <v>0</v>
      </c>
      <c r="I704" s="53"/>
      <c r="J704" s="57"/>
      <c r="K704" s="24">
        <v>0</v>
      </c>
      <c r="L704" s="10">
        <v>0</v>
      </c>
      <c r="M704" s="57"/>
      <c r="N704" s="57"/>
      <c r="O704" s="57"/>
      <c r="P704" s="3"/>
      <c r="Q704" s="3"/>
      <c r="R704" s="54" t="s">
        <v>35</v>
      </c>
      <c r="S704" s="10" t="s">
        <v>907</v>
      </c>
      <c r="T704" s="3"/>
      <c r="U704" s="3"/>
      <c r="V704" s="78" t="s">
        <v>908</v>
      </c>
    </row>
    <row r="705" s="2" customFormat="1" ht="128.25" spans="2:22">
      <c r="B705" s="56">
        <v>299</v>
      </c>
      <c r="C705" s="10">
        <v>704</v>
      </c>
      <c r="D705" s="10" t="s">
        <v>909</v>
      </c>
      <c r="E705" s="10">
        <v>35.92</v>
      </c>
      <c r="F705" s="10">
        <v>160.55</v>
      </c>
      <c r="G705" s="52">
        <v>350</v>
      </c>
      <c r="H705" s="24">
        <v>1</v>
      </c>
      <c r="I705" s="53"/>
      <c r="J705" s="57"/>
      <c r="K705" s="24">
        <v>0</v>
      </c>
      <c r="L705" s="10">
        <v>1</v>
      </c>
      <c r="M705" s="57"/>
      <c r="N705" s="57"/>
      <c r="O705" s="57"/>
      <c r="P705" s="3"/>
      <c r="Q705" s="3"/>
      <c r="R705" s="54" t="s">
        <v>35</v>
      </c>
      <c r="S705" s="10" t="s">
        <v>907</v>
      </c>
      <c r="T705" s="3"/>
      <c r="U705" s="3"/>
      <c r="V705" s="78" t="s">
        <v>908</v>
      </c>
    </row>
    <row r="706" s="2" customFormat="1" ht="128.25" spans="2:22">
      <c r="B706" s="56">
        <v>300</v>
      </c>
      <c r="C706" s="10">
        <v>705</v>
      </c>
      <c r="D706" s="10" t="s">
        <v>910</v>
      </c>
      <c r="E706" s="10">
        <v>34.49</v>
      </c>
      <c r="F706" s="10">
        <v>165.61</v>
      </c>
      <c r="G706" s="52">
        <v>375</v>
      </c>
      <c r="H706" s="24">
        <v>1</v>
      </c>
      <c r="I706" s="53"/>
      <c r="J706" s="57"/>
      <c r="K706" s="24">
        <v>0</v>
      </c>
      <c r="L706" s="10">
        <v>1</v>
      </c>
      <c r="M706" s="57"/>
      <c r="N706" s="57"/>
      <c r="O706" s="57"/>
      <c r="P706" s="3"/>
      <c r="Q706" s="3"/>
      <c r="R706" s="54" t="s">
        <v>35</v>
      </c>
      <c r="S706" s="10" t="s">
        <v>907</v>
      </c>
      <c r="T706" s="3"/>
      <c r="U706" s="3"/>
      <c r="V706" s="78" t="s">
        <v>908</v>
      </c>
    </row>
    <row r="707" s="2" customFormat="1" ht="128.25" spans="2:22">
      <c r="B707" s="56">
        <v>301</v>
      </c>
      <c r="C707" s="10">
        <v>706</v>
      </c>
      <c r="D707" s="10" t="s">
        <v>911</v>
      </c>
      <c r="E707" s="10">
        <v>40.91</v>
      </c>
      <c r="F707" s="10">
        <v>182.6</v>
      </c>
      <c r="G707" s="52">
        <v>300</v>
      </c>
      <c r="H707" s="24">
        <v>1</v>
      </c>
      <c r="I707" s="53"/>
      <c r="J707" s="57"/>
      <c r="K707" s="24">
        <v>0</v>
      </c>
      <c r="L707" s="10">
        <v>1</v>
      </c>
      <c r="M707" s="57" t="s">
        <v>912</v>
      </c>
      <c r="N707" s="57"/>
      <c r="O707" s="57"/>
      <c r="P707" s="3"/>
      <c r="Q707" s="3"/>
      <c r="R707" s="54" t="s">
        <v>35</v>
      </c>
      <c r="S707" s="10" t="s">
        <v>907</v>
      </c>
      <c r="T707" s="3"/>
      <c r="U707" s="3"/>
      <c r="V707" s="78" t="s">
        <v>908</v>
      </c>
    </row>
    <row r="708" s="2" customFormat="1" ht="128.25" spans="2:22">
      <c r="B708" s="56">
        <v>302</v>
      </c>
      <c r="C708" s="10">
        <v>707</v>
      </c>
      <c r="D708" s="10" t="s">
        <v>913</v>
      </c>
      <c r="E708" s="10">
        <v>39.24</v>
      </c>
      <c r="F708" s="10">
        <v>175.76</v>
      </c>
      <c r="G708" s="52">
        <v>250</v>
      </c>
      <c r="H708" s="24">
        <v>1</v>
      </c>
      <c r="I708" s="53"/>
      <c r="J708" s="57"/>
      <c r="K708" s="24">
        <v>0</v>
      </c>
      <c r="L708" s="10">
        <v>1</v>
      </c>
      <c r="M708" s="57"/>
      <c r="N708" s="57"/>
      <c r="O708" s="57"/>
      <c r="P708" s="3"/>
      <c r="Q708" s="3"/>
      <c r="R708" s="54" t="s">
        <v>35</v>
      </c>
      <c r="S708" s="10" t="s">
        <v>907</v>
      </c>
      <c r="T708" s="3"/>
      <c r="U708" s="3"/>
      <c r="V708" s="78" t="s">
        <v>908</v>
      </c>
    </row>
    <row r="709" s="2" customFormat="1" ht="128.25" spans="2:22">
      <c r="B709" s="56">
        <v>303</v>
      </c>
      <c r="C709" s="10">
        <v>708</v>
      </c>
      <c r="D709" s="10" t="s">
        <v>914</v>
      </c>
      <c r="E709" s="10">
        <v>41.71</v>
      </c>
      <c r="F709" s="10">
        <v>180.48</v>
      </c>
      <c r="G709" s="52">
        <v>190</v>
      </c>
      <c r="H709" s="24">
        <v>1</v>
      </c>
      <c r="I709" s="53"/>
      <c r="J709" s="57"/>
      <c r="K709" s="24">
        <v>0</v>
      </c>
      <c r="L709" s="10">
        <v>1</v>
      </c>
      <c r="M709" s="57"/>
      <c r="N709" s="57"/>
      <c r="O709" s="57"/>
      <c r="P709" s="3"/>
      <c r="Q709" s="3"/>
      <c r="R709" s="54" t="s">
        <v>35</v>
      </c>
      <c r="S709" s="10" t="s">
        <v>907</v>
      </c>
      <c r="T709" s="3"/>
      <c r="U709" s="3"/>
      <c r="V709" s="78" t="s">
        <v>908</v>
      </c>
    </row>
    <row r="710" s="2" customFormat="1" ht="128.25" spans="2:22">
      <c r="B710" s="56">
        <v>304</v>
      </c>
      <c r="C710" s="10">
        <v>709</v>
      </c>
      <c r="D710" s="10" t="s">
        <v>915</v>
      </c>
      <c r="E710" s="10">
        <v>41.17</v>
      </c>
      <c r="F710" s="10">
        <v>183.19</v>
      </c>
      <c r="G710" s="52">
        <v>260</v>
      </c>
      <c r="H710" s="24">
        <v>1</v>
      </c>
      <c r="I710" s="53"/>
      <c r="J710" s="57"/>
      <c r="K710" s="24">
        <v>0</v>
      </c>
      <c r="L710" s="10">
        <v>1</v>
      </c>
      <c r="M710" s="57"/>
      <c r="N710" s="57"/>
      <c r="O710" s="57"/>
      <c r="P710" s="3"/>
      <c r="Q710" s="3"/>
      <c r="R710" s="54" t="s">
        <v>35</v>
      </c>
      <c r="S710" s="10" t="s">
        <v>907</v>
      </c>
      <c r="T710" s="3"/>
      <c r="U710" s="3"/>
      <c r="V710" s="78" t="s">
        <v>908</v>
      </c>
    </row>
    <row r="711" s="2" customFormat="1" ht="128.25" spans="2:22">
      <c r="B711" s="56">
        <v>305</v>
      </c>
      <c r="C711" s="10">
        <v>710</v>
      </c>
      <c r="D711" s="10" t="s">
        <v>916</v>
      </c>
      <c r="E711" s="10">
        <v>45.78</v>
      </c>
      <c r="F711" s="10">
        <v>187.66</v>
      </c>
      <c r="G711" s="52">
        <v>215</v>
      </c>
      <c r="H711" s="24">
        <v>1</v>
      </c>
      <c r="I711" s="53"/>
      <c r="J711" s="57"/>
      <c r="K711" s="24">
        <v>0</v>
      </c>
      <c r="L711" s="10">
        <v>1</v>
      </c>
      <c r="M711" s="57" t="s">
        <v>912</v>
      </c>
      <c r="N711" s="57"/>
      <c r="O711" s="57"/>
      <c r="P711" s="3"/>
      <c r="Q711" s="3"/>
      <c r="R711" s="54" t="s">
        <v>35</v>
      </c>
      <c r="S711" s="10" t="s">
        <v>907</v>
      </c>
      <c r="T711" s="3"/>
      <c r="U711" s="3"/>
      <c r="V711" s="78" t="s">
        <v>908</v>
      </c>
    </row>
    <row r="712" s="2" customFormat="1" ht="128.25" spans="2:22">
      <c r="B712" s="56">
        <v>306</v>
      </c>
      <c r="C712" s="10">
        <v>711</v>
      </c>
      <c r="D712" s="10" t="s">
        <v>917</v>
      </c>
      <c r="E712" s="10">
        <v>49.82</v>
      </c>
      <c r="F712" s="10">
        <v>194.47</v>
      </c>
      <c r="G712" s="52">
        <v>160</v>
      </c>
      <c r="H712" s="24">
        <v>1</v>
      </c>
      <c r="I712" s="53"/>
      <c r="J712" s="57"/>
      <c r="K712" s="24">
        <v>0</v>
      </c>
      <c r="L712" s="10">
        <v>1</v>
      </c>
      <c r="M712" s="57"/>
      <c r="N712" s="57"/>
      <c r="O712" s="57"/>
      <c r="P712" s="3"/>
      <c r="Q712" s="3"/>
      <c r="R712" s="54" t="s">
        <v>35</v>
      </c>
      <c r="S712" s="10" t="s">
        <v>907</v>
      </c>
      <c r="T712" s="3"/>
      <c r="U712" s="3"/>
      <c r="V712" s="78" t="s">
        <v>908</v>
      </c>
    </row>
    <row r="713" s="2" customFormat="1" ht="128.25" spans="2:22">
      <c r="B713" s="56">
        <v>307</v>
      </c>
      <c r="C713" s="10">
        <v>712</v>
      </c>
      <c r="D713" s="10" t="s">
        <v>918</v>
      </c>
      <c r="E713" s="10">
        <v>50</v>
      </c>
      <c r="F713" s="10">
        <v>193.74</v>
      </c>
      <c r="G713" s="52">
        <v>210</v>
      </c>
      <c r="H713" s="24">
        <v>1</v>
      </c>
      <c r="I713" s="53"/>
      <c r="J713" s="57"/>
      <c r="K713" s="24">
        <v>0</v>
      </c>
      <c r="L713" s="10">
        <v>1</v>
      </c>
      <c r="M713" s="57"/>
      <c r="N713" s="57"/>
      <c r="O713" s="57"/>
      <c r="P713" s="3"/>
      <c r="Q713" s="3"/>
      <c r="R713" s="54" t="s">
        <v>35</v>
      </c>
      <c r="S713" s="10" t="s">
        <v>907</v>
      </c>
      <c r="T713" s="3"/>
      <c r="U713" s="3"/>
      <c r="V713" s="78" t="s">
        <v>908</v>
      </c>
    </row>
    <row r="714" s="2" customFormat="1" ht="128.25" spans="2:22">
      <c r="B714" s="56">
        <v>308</v>
      </c>
      <c r="C714" s="10">
        <v>713</v>
      </c>
      <c r="D714" s="10" t="s">
        <v>919</v>
      </c>
      <c r="E714" s="10">
        <v>50.82</v>
      </c>
      <c r="F714" s="10">
        <v>202.77</v>
      </c>
      <c r="G714" s="52">
        <v>150</v>
      </c>
      <c r="H714" s="24">
        <v>1</v>
      </c>
      <c r="I714" s="53"/>
      <c r="J714" s="57"/>
      <c r="K714" s="24">
        <v>0</v>
      </c>
      <c r="L714" s="10">
        <v>1</v>
      </c>
      <c r="M714" s="57"/>
      <c r="N714" s="57"/>
      <c r="O714" s="57"/>
      <c r="P714" s="3"/>
      <c r="Q714" s="3"/>
      <c r="R714" s="54" t="s">
        <v>35</v>
      </c>
      <c r="S714" s="10" t="s">
        <v>907</v>
      </c>
      <c r="T714" s="3"/>
      <c r="U714" s="3"/>
      <c r="V714" s="78" t="s">
        <v>908</v>
      </c>
    </row>
    <row r="715" s="2" customFormat="1" ht="128.25" spans="2:22">
      <c r="B715" s="56">
        <v>309</v>
      </c>
      <c r="C715" s="10">
        <v>714</v>
      </c>
      <c r="D715" s="10" t="s">
        <v>920</v>
      </c>
      <c r="E715" s="10">
        <v>53.81</v>
      </c>
      <c r="F715" s="10">
        <v>207.41</v>
      </c>
      <c r="G715" s="52">
        <v>170</v>
      </c>
      <c r="H715" s="24">
        <v>1</v>
      </c>
      <c r="I715" s="53"/>
      <c r="J715" s="57"/>
      <c r="K715" s="24">
        <v>0</v>
      </c>
      <c r="L715" s="10">
        <v>1</v>
      </c>
      <c r="M715" s="57" t="s">
        <v>912</v>
      </c>
      <c r="N715" s="57"/>
      <c r="O715" s="57"/>
      <c r="P715" s="3"/>
      <c r="Q715" s="3"/>
      <c r="R715" s="54" t="s">
        <v>35</v>
      </c>
      <c r="S715" s="10" t="s">
        <v>907</v>
      </c>
      <c r="T715" s="3"/>
      <c r="U715" s="3"/>
      <c r="V715" s="78" t="s">
        <v>908</v>
      </c>
    </row>
    <row r="716" s="2" customFormat="1" ht="128.25" spans="2:22">
      <c r="B716" s="56">
        <v>310</v>
      </c>
      <c r="C716" s="10">
        <v>715</v>
      </c>
      <c r="D716" s="10" t="s">
        <v>921</v>
      </c>
      <c r="E716" s="10">
        <v>56.6</v>
      </c>
      <c r="F716" s="10">
        <v>207.55</v>
      </c>
      <c r="G716" s="52">
        <v>150</v>
      </c>
      <c r="H716" s="24">
        <v>1</v>
      </c>
      <c r="I716" s="53"/>
      <c r="J716" s="57"/>
      <c r="K716" s="24">
        <v>0</v>
      </c>
      <c r="L716" s="10">
        <v>1</v>
      </c>
      <c r="M716" s="57"/>
      <c r="N716" s="57"/>
      <c r="O716" s="57"/>
      <c r="P716" s="3"/>
      <c r="Q716" s="3"/>
      <c r="R716" s="54" t="s">
        <v>35</v>
      </c>
      <c r="S716" s="10" t="s">
        <v>907</v>
      </c>
      <c r="T716" s="3"/>
      <c r="U716" s="3"/>
      <c r="V716" s="78" t="s">
        <v>908</v>
      </c>
    </row>
    <row r="717" s="2" customFormat="1" ht="128.25" spans="2:22">
      <c r="B717" s="56">
        <v>311</v>
      </c>
      <c r="C717" s="10">
        <v>716</v>
      </c>
      <c r="D717" s="10" t="s">
        <v>922</v>
      </c>
      <c r="E717" s="10">
        <v>56.71</v>
      </c>
      <c r="F717" s="10">
        <v>206.21</v>
      </c>
      <c r="G717" s="52">
        <v>125</v>
      </c>
      <c r="H717" s="24">
        <v>1</v>
      </c>
      <c r="I717" s="53"/>
      <c r="J717" s="57"/>
      <c r="K717" s="24">
        <v>0</v>
      </c>
      <c r="L717" s="10">
        <v>1</v>
      </c>
      <c r="M717" s="57"/>
      <c r="N717" s="57"/>
      <c r="O717" s="57"/>
      <c r="P717" s="3"/>
      <c r="Q717" s="3"/>
      <c r="R717" s="54" t="s">
        <v>35</v>
      </c>
      <c r="S717" s="10" t="s">
        <v>907</v>
      </c>
      <c r="T717" s="3"/>
      <c r="U717" s="3"/>
      <c r="V717" s="78" t="s">
        <v>908</v>
      </c>
    </row>
    <row r="718" s="2" customFormat="1" ht="128.25" spans="2:22">
      <c r="B718" s="56">
        <v>312</v>
      </c>
      <c r="C718" s="10">
        <v>717</v>
      </c>
      <c r="D718" s="10" t="s">
        <v>923</v>
      </c>
      <c r="E718" s="10">
        <v>61</v>
      </c>
      <c r="F718" s="10">
        <v>221.74</v>
      </c>
      <c r="G718" s="52">
        <v>140</v>
      </c>
      <c r="H718" s="24">
        <v>1</v>
      </c>
      <c r="I718" s="53"/>
      <c r="J718" s="57"/>
      <c r="K718" s="24">
        <v>0</v>
      </c>
      <c r="L718" s="10">
        <v>1</v>
      </c>
      <c r="M718" s="57"/>
      <c r="N718" s="57"/>
      <c r="O718" s="57"/>
      <c r="P718" s="3"/>
      <c r="Q718" s="3"/>
      <c r="R718" s="54" t="s">
        <v>35</v>
      </c>
      <c r="S718" s="10" t="s">
        <v>907</v>
      </c>
      <c r="T718" s="3"/>
      <c r="U718" s="3"/>
      <c r="V718" s="78" t="s">
        <v>908</v>
      </c>
    </row>
    <row r="719" s="2" customFormat="1" ht="128.25" spans="2:22">
      <c r="B719" s="56">
        <v>313</v>
      </c>
      <c r="C719" s="10">
        <v>718</v>
      </c>
      <c r="D719" s="10" t="s">
        <v>924</v>
      </c>
      <c r="E719" s="10">
        <v>58.9</v>
      </c>
      <c r="F719" s="10">
        <v>218.44</v>
      </c>
      <c r="G719" s="52">
        <v>105</v>
      </c>
      <c r="H719" s="24">
        <v>1</v>
      </c>
      <c r="I719" s="53"/>
      <c r="J719" s="57"/>
      <c r="K719" s="24">
        <v>0</v>
      </c>
      <c r="L719" s="10">
        <v>1</v>
      </c>
      <c r="M719" s="57" t="s">
        <v>912</v>
      </c>
      <c r="N719" s="57"/>
      <c r="O719" s="57"/>
      <c r="P719" s="3"/>
      <c r="Q719" s="3"/>
      <c r="R719" s="54" t="s">
        <v>63</v>
      </c>
      <c r="S719" s="10" t="s">
        <v>907</v>
      </c>
      <c r="T719" s="3"/>
      <c r="U719" s="3"/>
      <c r="V719" s="78" t="s">
        <v>908</v>
      </c>
    </row>
    <row r="720" s="2" customFormat="1" ht="128.25" spans="2:22">
      <c r="B720" s="56">
        <v>314</v>
      </c>
      <c r="C720" s="10">
        <v>719</v>
      </c>
      <c r="D720" s="10" t="s">
        <v>925</v>
      </c>
      <c r="E720" s="10">
        <v>90</v>
      </c>
      <c r="F720" s="10">
        <v>200</v>
      </c>
      <c r="G720" s="52">
        <v>40</v>
      </c>
      <c r="H720" s="24">
        <v>0</v>
      </c>
      <c r="I720" s="53"/>
      <c r="J720" s="57"/>
      <c r="K720" s="24">
        <v>0</v>
      </c>
      <c r="L720" s="10">
        <v>0</v>
      </c>
      <c r="M720" s="57"/>
      <c r="N720" s="57"/>
      <c r="O720" s="57"/>
      <c r="P720" s="3"/>
      <c r="Q720" s="3"/>
      <c r="R720" s="54" t="s">
        <v>63</v>
      </c>
      <c r="S720" s="10" t="s">
        <v>926</v>
      </c>
      <c r="T720" s="3"/>
      <c r="U720" s="3"/>
      <c r="V720" s="78" t="s">
        <v>908</v>
      </c>
    </row>
    <row r="721" s="2" customFormat="1" ht="128.25" spans="2:22">
      <c r="B721" s="56">
        <v>315</v>
      </c>
      <c r="C721" s="10">
        <v>720</v>
      </c>
      <c r="D721" s="10" t="s">
        <v>925</v>
      </c>
      <c r="E721" s="10">
        <v>85</v>
      </c>
      <c r="F721" s="10">
        <v>195</v>
      </c>
      <c r="G721" s="52">
        <v>50</v>
      </c>
      <c r="H721" s="24">
        <v>0</v>
      </c>
      <c r="I721" s="53"/>
      <c r="J721" s="57"/>
      <c r="K721" s="24">
        <v>0</v>
      </c>
      <c r="L721" s="10">
        <v>0</v>
      </c>
      <c r="M721" s="57"/>
      <c r="N721" s="57"/>
      <c r="O721" s="57"/>
      <c r="P721" s="3"/>
      <c r="Q721" s="3"/>
      <c r="R721" s="54" t="s">
        <v>63</v>
      </c>
      <c r="S721" s="10" t="s">
        <v>927</v>
      </c>
      <c r="T721" s="3"/>
      <c r="U721" s="3"/>
      <c r="V721" s="78" t="s">
        <v>908</v>
      </c>
    </row>
    <row r="722" s="2" customFormat="1" ht="128.25" spans="2:22">
      <c r="B722" s="56">
        <v>316</v>
      </c>
      <c r="C722" s="10">
        <v>721</v>
      </c>
      <c r="D722" s="10" t="s">
        <v>925</v>
      </c>
      <c r="E722" s="10">
        <v>80</v>
      </c>
      <c r="F722" s="10">
        <v>190</v>
      </c>
      <c r="G722" s="52">
        <v>65</v>
      </c>
      <c r="H722" s="24">
        <v>0</v>
      </c>
      <c r="I722" s="53"/>
      <c r="J722" s="57"/>
      <c r="K722" s="24">
        <v>0</v>
      </c>
      <c r="L722" s="10">
        <v>0</v>
      </c>
      <c r="M722" s="57"/>
      <c r="N722" s="57"/>
      <c r="O722" s="57"/>
      <c r="P722" s="3"/>
      <c r="Q722" s="3"/>
      <c r="R722" s="54" t="s">
        <v>63</v>
      </c>
      <c r="S722" s="10" t="s">
        <v>928</v>
      </c>
      <c r="T722" s="3"/>
      <c r="U722" s="3"/>
      <c r="V722" s="78" t="s">
        <v>908</v>
      </c>
    </row>
    <row r="723" s="2" customFormat="1" ht="128.25" spans="2:22">
      <c r="B723" s="56">
        <v>317</v>
      </c>
      <c r="C723" s="10">
        <v>722</v>
      </c>
      <c r="D723" s="10" t="s">
        <v>929</v>
      </c>
      <c r="E723" s="10">
        <v>100</v>
      </c>
      <c r="F723" s="10">
        <v>220</v>
      </c>
      <c r="G723" s="52">
        <v>28</v>
      </c>
      <c r="H723" s="24">
        <v>0</v>
      </c>
      <c r="I723" s="53"/>
      <c r="J723" s="57"/>
      <c r="K723" s="24">
        <v>0</v>
      </c>
      <c r="L723" s="10">
        <v>0</v>
      </c>
      <c r="M723" s="57"/>
      <c r="N723" s="57"/>
      <c r="O723" s="57"/>
      <c r="P723" s="3"/>
      <c r="Q723" s="3"/>
      <c r="R723" s="54" t="s">
        <v>63</v>
      </c>
      <c r="S723" s="10" t="s">
        <v>926</v>
      </c>
      <c r="T723" s="3"/>
      <c r="U723" s="3"/>
      <c r="V723" s="78" t="s">
        <v>908</v>
      </c>
    </row>
    <row r="724" s="2" customFormat="1" ht="128.25" spans="2:22">
      <c r="B724" s="56">
        <v>318</v>
      </c>
      <c r="C724" s="10">
        <v>723</v>
      </c>
      <c r="D724" s="10" t="s">
        <v>929</v>
      </c>
      <c r="E724" s="10">
        <v>95</v>
      </c>
      <c r="F724" s="10">
        <v>215</v>
      </c>
      <c r="G724" s="52">
        <v>35</v>
      </c>
      <c r="H724" s="24">
        <v>0</v>
      </c>
      <c r="I724" s="53"/>
      <c r="J724" s="57"/>
      <c r="K724" s="24">
        <v>0</v>
      </c>
      <c r="L724" s="10">
        <v>0</v>
      </c>
      <c r="M724" s="57"/>
      <c r="N724" s="57"/>
      <c r="O724" s="57"/>
      <c r="P724" s="3"/>
      <c r="Q724" s="3"/>
      <c r="R724" s="54" t="s">
        <v>63</v>
      </c>
      <c r="S724" s="10" t="s">
        <v>930</v>
      </c>
      <c r="T724" s="3"/>
      <c r="U724" s="3"/>
      <c r="V724" s="78" t="s">
        <v>908</v>
      </c>
    </row>
    <row r="725" s="2" customFormat="1" ht="128.25" spans="2:22">
      <c r="B725" s="56">
        <v>319</v>
      </c>
      <c r="C725" s="10">
        <v>724</v>
      </c>
      <c r="D725" s="10" t="s">
        <v>929</v>
      </c>
      <c r="E725" s="10">
        <v>85</v>
      </c>
      <c r="F725" s="10">
        <v>210</v>
      </c>
      <c r="G725" s="52">
        <v>46</v>
      </c>
      <c r="H725" s="24">
        <v>0</v>
      </c>
      <c r="I725" s="53"/>
      <c r="J725" s="57"/>
      <c r="K725" s="24">
        <v>0</v>
      </c>
      <c r="L725" s="10">
        <v>0</v>
      </c>
      <c r="M725" s="57"/>
      <c r="N725" s="57"/>
      <c r="O725" s="57"/>
      <c r="P725" s="3"/>
      <c r="Q725" s="3"/>
      <c r="R725" s="54" t="s">
        <v>63</v>
      </c>
      <c r="S725" s="10" t="s">
        <v>931</v>
      </c>
      <c r="T725" s="3"/>
      <c r="U725" s="3"/>
      <c r="V725" s="78" t="s">
        <v>908</v>
      </c>
    </row>
    <row r="726" s="2" customFormat="1" ht="128.25" spans="2:22">
      <c r="B726" s="56">
        <v>320</v>
      </c>
      <c r="C726" s="10">
        <v>725</v>
      </c>
      <c r="D726" s="10" t="s">
        <v>917</v>
      </c>
      <c r="E726" s="10">
        <v>160</v>
      </c>
      <c r="F726" s="10">
        <v>180</v>
      </c>
      <c r="G726" s="52">
        <v>7.5</v>
      </c>
      <c r="H726" s="24">
        <v>0</v>
      </c>
      <c r="I726" s="53"/>
      <c r="J726" s="57"/>
      <c r="K726" s="24">
        <v>0</v>
      </c>
      <c r="L726" s="10">
        <v>0</v>
      </c>
      <c r="M726" s="57"/>
      <c r="N726" s="57"/>
      <c r="O726" s="57"/>
      <c r="P726" s="3"/>
      <c r="Q726" s="3"/>
      <c r="R726" s="54" t="s">
        <v>63</v>
      </c>
      <c r="S726" s="10" t="s">
        <v>932</v>
      </c>
      <c r="T726" s="3"/>
      <c r="U726" s="3"/>
      <c r="V726" s="78" t="s">
        <v>908</v>
      </c>
    </row>
    <row r="727" s="2" customFormat="1" ht="128.25" spans="2:22">
      <c r="B727" s="56">
        <v>321</v>
      </c>
      <c r="C727" s="10">
        <v>726</v>
      </c>
      <c r="D727" s="10" t="s">
        <v>917</v>
      </c>
      <c r="E727" s="10">
        <v>165</v>
      </c>
      <c r="F727" s="10">
        <v>190</v>
      </c>
      <c r="G727" s="52">
        <v>8.5</v>
      </c>
      <c r="H727" s="24">
        <v>0</v>
      </c>
      <c r="I727" s="53"/>
      <c r="J727" s="57"/>
      <c r="K727" s="24">
        <v>0</v>
      </c>
      <c r="L727" s="10">
        <v>0</v>
      </c>
      <c r="M727" s="57"/>
      <c r="N727" s="57"/>
      <c r="O727" s="57"/>
      <c r="P727" s="3"/>
      <c r="Q727" s="3"/>
      <c r="R727" s="54" t="s">
        <v>63</v>
      </c>
      <c r="S727" s="10" t="s">
        <v>927</v>
      </c>
      <c r="T727" s="3"/>
      <c r="U727" s="3"/>
      <c r="V727" s="78" t="s">
        <v>908</v>
      </c>
    </row>
    <row r="728" s="2" customFormat="1" ht="128.25" spans="2:22">
      <c r="B728" s="56">
        <v>322</v>
      </c>
      <c r="C728" s="10">
        <v>727</v>
      </c>
      <c r="D728" s="10" t="s">
        <v>917</v>
      </c>
      <c r="E728" s="10">
        <v>155</v>
      </c>
      <c r="F728" s="10">
        <v>250</v>
      </c>
      <c r="G728" s="52">
        <v>8.5</v>
      </c>
      <c r="H728" s="24">
        <v>0</v>
      </c>
      <c r="I728" s="53"/>
      <c r="J728" s="57"/>
      <c r="K728" s="24">
        <v>0</v>
      </c>
      <c r="L728" s="10">
        <v>0</v>
      </c>
      <c r="M728" s="57"/>
      <c r="N728" s="57"/>
      <c r="O728" s="57"/>
      <c r="P728" s="3"/>
      <c r="Q728" s="3"/>
      <c r="R728" s="54" t="s">
        <v>63</v>
      </c>
      <c r="S728" s="10" t="s">
        <v>933</v>
      </c>
      <c r="T728" s="3"/>
      <c r="U728" s="3"/>
      <c r="V728" s="78" t="s">
        <v>908</v>
      </c>
    </row>
    <row r="729" s="2" customFormat="1" ht="128.25" spans="2:22">
      <c r="B729" s="56">
        <v>323</v>
      </c>
      <c r="C729" s="10">
        <v>728</v>
      </c>
      <c r="D729" s="10" t="s">
        <v>934</v>
      </c>
      <c r="E729" s="10">
        <v>175</v>
      </c>
      <c r="F729" s="10">
        <v>270</v>
      </c>
      <c r="G729" s="52">
        <v>6</v>
      </c>
      <c r="H729" s="24">
        <v>0</v>
      </c>
      <c r="I729" s="53"/>
      <c r="J729" s="57"/>
      <c r="K729" s="24">
        <v>0</v>
      </c>
      <c r="L729" s="10">
        <v>0</v>
      </c>
      <c r="M729" s="57"/>
      <c r="N729" s="57"/>
      <c r="O729" s="57"/>
      <c r="P729" s="3"/>
      <c r="Q729" s="3"/>
      <c r="R729" s="54" t="s">
        <v>63</v>
      </c>
      <c r="S729" s="10" t="s">
        <v>935</v>
      </c>
      <c r="T729" s="3"/>
      <c r="U729" s="3"/>
      <c r="V729" s="78" t="s">
        <v>908</v>
      </c>
    </row>
    <row r="730" s="2" customFormat="1" ht="128.25" spans="2:22">
      <c r="B730" s="56">
        <v>324</v>
      </c>
      <c r="C730" s="10">
        <v>729</v>
      </c>
      <c r="D730" s="10" t="s">
        <v>934</v>
      </c>
      <c r="E730" s="10">
        <v>170</v>
      </c>
      <c r="F730" s="10">
        <v>270</v>
      </c>
      <c r="G730" s="52">
        <v>7</v>
      </c>
      <c r="H730" s="24">
        <v>0</v>
      </c>
      <c r="I730" s="53"/>
      <c r="J730" s="57"/>
      <c r="K730" s="24">
        <v>0</v>
      </c>
      <c r="L730" s="10">
        <v>0</v>
      </c>
      <c r="M730" s="57"/>
      <c r="N730" s="57"/>
      <c r="O730" s="57"/>
      <c r="P730" s="3"/>
      <c r="Q730" s="3"/>
      <c r="R730" s="54" t="s">
        <v>63</v>
      </c>
      <c r="S730" s="10" t="s">
        <v>936</v>
      </c>
      <c r="T730" s="3"/>
      <c r="U730" s="3"/>
      <c r="V730" s="78" t="s">
        <v>908</v>
      </c>
    </row>
    <row r="731" s="2" customFormat="1" ht="128.25" spans="2:22">
      <c r="B731" s="56">
        <v>325</v>
      </c>
      <c r="C731" s="10">
        <v>730</v>
      </c>
      <c r="D731" s="10" t="s">
        <v>934</v>
      </c>
      <c r="E731" s="10">
        <v>155</v>
      </c>
      <c r="F731" s="10">
        <v>260</v>
      </c>
      <c r="G731" s="52">
        <v>10</v>
      </c>
      <c r="H731" s="24">
        <v>0</v>
      </c>
      <c r="I731" s="53"/>
      <c r="J731" s="57"/>
      <c r="K731" s="24">
        <v>0</v>
      </c>
      <c r="L731" s="10">
        <v>0</v>
      </c>
      <c r="M731" s="57"/>
      <c r="N731" s="57"/>
      <c r="O731" s="57"/>
      <c r="P731" s="3"/>
      <c r="Q731" s="3"/>
      <c r="R731" s="54" t="s">
        <v>63</v>
      </c>
      <c r="S731" s="10" t="s">
        <v>937</v>
      </c>
      <c r="T731" s="3"/>
      <c r="U731" s="3"/>
      <c r="V731" s="78" t="s">
        <v>908</v>
      </c>
    </row>
    <row r="732" s="2" customFormat="1" ht="128.25" spans="2:22">
      <c r="B732" s="56">
        <v>326</v>
      </c>
      <c r="C732" s="10">
        <v>731</v>
      </c>
      <c r="D732" s="10" t="s">
        <v>921</v>
      </c>
      <c r="E732" s="10">
        <v>170</v>
      </c>
      <c r="F732" s="10">
        <v>250</v>
      </c>
      <c r="G732" s="52">
        <v>6.5</v>
      </c>
      <c r="H732" s="24">
        <v>0</v>
      </c>
      <c r="I732" s="53"/>
      <c r="J732" s="57"/>
      <c r="K732" s="24">
        <v>0</v>
      </c>
      <c r="L732" s="10">
        <v>0</v>
      </c>
      <c r="M732" s="57"/>
      <c r="N732" s="57"/>
      <c r="O732" s="57"/>
      <c r="P732" s="3"/>
      <c r="Q732" s="3"/>
      <c r="R732" s="54" t="s">
        <v>63</v>
      </c>
      <c r="S732" s="10" t="s">
        <v>938</v>
      </c>
      <c r="T732" s="3"/>
      <c r="U732" s="3"/>
      <c r="V732" s="78" t="s">
        <v>908</v>
      </c>
    </row>
    <row r="733" s="2" customFormat="1" ht="128.25" spans="2:22">
      <c r="B733" s="56">
        <v>327</v>
      </c>
      <c r="C733" s="10">
        <v>732</v>
      </c>
      <c r="D733" s="10" t="s">
        <v>921</v>
      </c>
      <c r="E733" s="10">
        <v>165</v>
      </c>
      <c r="F733" s="10">
        <v>260</v>
      </c>
      <c r="G733" s="52">
        <v>8.5</v>
      </c>
      <c r="H733" s="24">
        <v>0</v>
      </c>
      <c r="I733" s="53"/>
      <c r="J733" s="57"/>
      <c r="K733" s="24">
        <v>0</v>
      </c>
      <c r="L733" s="10">
        <v>0</v>
      </c>
      <c r="M733" s="57"/>
      <c r="N733" s="57"/>
      <c r="O733" s="57"/>
      <c r="P733" s="3"/>
      <c r="Q733" s="3"/>
      <c r="R733" s="54" t="s">
        <v>63</v>
      </c>
      <c r="S733" s="10" t="s">
        <v>939</v>
      </c>
      <c r="T733" s="3"/>
      <c r="U733" s="3"/>
      <c r="V733" s="78" t="s">
        <v>908</v>
      </c>
    </row>
    <row r="734" s="2" customFormat="1" ht="128.25" spans="2:22">
      <c r="B734" s="56">
        <v>328</v>
      </c>
      <c r="C734" s="10">
        <v>733</v>
      </c>
      <c r="D734" s="10" t="s">
        <v>921</v>
      </c>
      <c r="E734" s="10">
        <v>155</v>
      </c>
      <c r="F734" s="10">
        <v>255</v>
      </c>
      <c r="G734" s="52">
        <v>9</v>
      </c>
      <c r="H734" s="24">
        <v>0</v>
      </c>
      <c r="I734" s="53"/>
      <c r="J734" s="57"/>
      <c r="K734" s="24">
        <v>0</v>
      </c>
      <c r="L734" s="10">
        <v>0</v>
      </c>
      <c r="M734" s="57"/>
      <c r="N734" s="57"/>
      <c r="O734" s="57"/>
      <c r="P734" s="3"/>
      <c r="Q734" s="3"/>
      <c r="R734" s="54" t="s">
        <v>63</v>
      </c>
      <c r="S734" s="10" t="s">
        <v>931</v>
      </c>
      <c r="T734" s="3"/>
      <c r="U734" s="3"/>
      <c r="V734" s="78" t="s">
        <v>908</v>
      </c>
    </row>
    <row r="735" s="2" customFormat="1" ht="128.25" spans="2:22">
      <c r="B735" s="56">
        <v>329</v>
      </c>
      <c r="C735" s="10">
        <v>734</v>
      </c>
      <c r="D735" s="10" t="s">
        <v>921</v>
      </c>
      <c r="E735" s="10">
        <v>155</v>
      </c>
      <c r="F735" s="10">
        <v>255</v>
      </c>
      <c r="G735" s="52">
        <v>9</v>
      </c>
      <c r="H735" s="24">
        <v>0</v>
      </c>
      <c r="I735" s="53"/>
      <c r="J735" s="57"/>
      <c r="K735" s="24">
        <v>0</v>
      </c>
      <c r="L735" s="10">
        <v>0</v>
      </c>
      <c r="M735" s="57"/>
      <c r="N735" s="57"/>
      <c r="O735" s="57"/>
      <c r="P735" s="3"/>
      <c r="Q735" s="3"/>
      <c r="R735" s="54" t="s">
        <v>63</v>
      </c>
      <c r="S735" s="10" t="s">
        <v>940</v>
      </c>
      <c r="T735" s="3"/>
      <c r="U735" s="3"/>
      <c r="V735" s="78" t="s">
        <v>908</v>
      </c>
    </row>
    <row r="736" s="2" customFormat="1" ht="128.25" spans="2:22">
      <c r="B736" s="56">
        <v>330</v>
      </c>
      <c r="C736" s="10">
        <v>735</v>
      </c>
      <c r="D736" s="10" t="s">
        <v>921</v>
      </c>
      <c r="E736" s="10">
        <v>150</v>
      </c>
      <c r="F736" s="10">
        <v>245</v>
      </c>
      <c r="G736" s="52">
        <v>10</v>
      </c>
      <c r="H736" s="24">
        <v>0</v>
      </c>
      <c r="I736" s="53"/>
      <c r="J736" s="57"/>
      <c r="K736" s="24">
        <v>0</v>
      </c>
      <c r="L736" s="10">
        <v>0</v>
      </c>
      <c r="M736" s="57"/>
      <c r="N736" s="57"/>
      <c r="O736" s="57"/>
      <c r="P736" s="3"/>
      <c r="Q736" s="3"/>
      <c r="R736" s="54" t="s">
        <v>63</v>
      </c>
      <c r="S736" s="10" t="s">
        <v>941</v>
      </c>
      <c r="T736" s="3"/>
      <c r="U736" s="3"/>
      <c r="V736" s="78" t="s">
        <v>908</v>
      </c>
    </row>
    <row r="737" s="2" customFormat="1" ht="128.25" spans="2:22">
      <c r="B737" s="56">
        <v>331</v>
      </c>
      <c r="C737" s="10">
        <v>736</v>
      </c>
      <c r="D737" s="10" t="s">
        <v>471</v>
      </c>
      <c r="E737" s="10">
        <v>100</v>
      </c>
      <c r="F737" s="10">
        <v>245</v>
      </c>
      <c r="G737" s="52">
        <v>3</v>
      </c>
      <c r="H737" s="24">
        <v>0</v>
      </c>
      <c r="I737" s="53"/>
      <c r="J737" s="57"/>
      <c r="K737" s="24">
        <v>0</v>
      </c>
      <c r="L737" s="10">
        <v>0</v>
      </c>
      <c r="M737" s="57"/>
      <c r="N737" s="57"/>
      <c r="O737" s="57"/>
      <c r="P737" s="3"/>
      <c r="Q737" s="3"/>
      <c r="R737" s="54" t="s">
        <v>63</v>
      </c>
      <c r="S737" s="10" t="s">
        <v>942</v>
      </c>
      <c r="T737" s="3"/>
      <c r="U737" s="3"/>
      <c r="V737" s="78" t="s">
        <v>908</v>
      </c>
    </row>
    <row r="738" s="2" customFormat="1" ht="128.25" spans="2:22">
      <c r="B738" s="56">
        <v>332</v>
      </c>
      <c r="C738" s="10">
        <v>737</v>
      </c>
      <c r="D738" s="10" t="s">
        <v>471</v>
      </c>
      <c r="E738" s="10">
        <v>95</v>
      </c>
      <c r="F738" s="10">
        <v>245</v>
      </c>
      <c r="G738" s="52">
        <v>35</v>
      </c>
      <c r="H738" s="24">
        <v>0</v>
      </c>
      <c r="I738" s="53"/>
      <c r="J738" s="57"/>
      <c r="K738" s="24">
        <v>0</v>
      </c>
      <c r="L738" s="10">
        <v>0</v>
      </c>
      <c r="M738" s="57"/>
      <c r="N738" s="57"/>
      <c r="O738" s="57"/>
      <c r="P738" s="3"/>
      <c r="Q738" s="3"/>
      <c r="R738" s="54" t="s">
        <v>63</v>
      </c>
      <c r="S738" s="10" t="s">
        <v>943</v>
      </c>
      <c r="T738" s="3"/>
      <c r="U738" s="3"/>
      <c r="V738" s="78" t="s">
        <v>908</v>
      </c>
    </row>
    <row r="739" s="2" customFormat="1" ht="128.25" spans="2:22">
      <c r="B739" s="56">
        <v>333</v>
      </c>
      <c r="C739" s="10">
        <v>738</v>
      </c>
      <c r="D739" s="10" t="s">
        <v>471</v>
      </c>
      <c r="E739" s="10">
        <v>90</v>
      </c>
      <c r="F739" s="10">
        <v>240</v>
      </c>
      <c r="G739" s="52">
        <v>42</v>
      </c>
      <c r="H739" s="24">
        <v>0</v>
      </c>
      <c r="I739" s="53"/>
      <c r="J739" s="57"/>
      <c r="K739" s="24">
        <v>0</v>
      </c>
      <c r="L739" s="10">
        <v>0</v>
      </c>
      <c r="M739" s="57"/>
      <c r="N739" s="57"/>
      <c r="O739" s="57"/>
      <c r="P739" s="3"/>
      <c r="Q739" s="3"/>
      <c r="R739" s="54" t="s">
        <v>63</v>
      </c>
      <c r="S739" s="10" t="s">
        <v>931</v>
      </c>
      <c r="T739" s="3"/>
      <c r="U739" s="3"/>
      <c r="V739" s="78" t="s">
        <v>908</v>
      </c>
    </row>
    <row r="740" s="2" customFormat="1" ht="128.25" spans="2:22">
      <c r="B740" s="56">
        <v>334</v>
      </c>
      <c r="C740" s="10">
        <v>739</v>
      </c>
      <c r="D740" s="10" t="s">
        <v>860</v>
      </c>
      <c r="E740" s="10">
        <v>44.8</v>
      </c>
      <c r="F740" s="10">
        <v>230</v>
      </c>
      <c r="G740" s="52">
        <v>1100</v>
      </c>
      <c r="H740" s="24">
        <v>1</v>
      </c>
      <c r="I740" s="53"/>
      <c r="J740" s="57"/>
      <c r="K740" s="54" t="s">
        <v>34</v>
      </c>
      <c r="L740" s="10">
        <v>1</v>
      </c>
      <c r="M740" s="57"/>
      <c r="N740" s="57"/>
      <c r="O740" s="57"/>
      <c r="P740" s="3"/>
      <c r="Q740" s="3"/>
      <c r="R740" s="54" t="s">
        <v>35</v>
      </c>
      <c r="S740" s="10" t="s">
        <v>907</v>
      </c>
      <c r="T740" s="3"/>
      <c r="U740" s="3"/>
      <c r="V740" s="78" t="s">
        <v>908</v>
      </c>
    </row>
    <row r="741" s="2" customFormat="1" ht="128.25" spans="2:22">
      <c r="B741" s="56">
        <v>335</v>
      </c>
      <c r="C741" s="10">
        <v>740</v>
      </c>
      <c r="D741" s="10" t="s">
        <v>944</v>
      </c>
      <c r="E741" s="10">
        <v>52.2</v>
      </c>
      <c r="F741" s="10">
        <v>259</v>
      </c>
      <c r="G741" s="52">
        <v>120</v>
      </c>
      <c r="H741" s="24">
        <v>1</v>
      </c>
      <c r="I741" s="53"/>
      <c r="J741" s="57"/>
      <c r="K741" s="54" t="s">
        <v>34</v>
      </c>
      <c r="L741" s="10">
        <v>1</v>
      </c>
      <c r="M741" s="57"/>
      <c r="N741" s="57"/>
      <c r="O741" s="57"/>
      <c r="P741" s="3"/>
      <c r="Q741" s="3"/>
      <c r="R741" s="54" t="s">
        <v>35</v>
      </c>
      <c r="S741" s="10" t="s">
        <v>907</v>
      </c>
      <c r="T741" s="3"/>
      <c r="U741" s="3"/>
      <c r="V741" s="78" t="s">
        <v>908</v>
      </c>
    </row>
    <row r="742" s="2" customFormat="1" ht="128.25" spans="2:22">
      <c r="B742" s="56">
        <v>336</v>
      </c>
      <c r="C742" s="10">
        <v>741</v>
      </c>
      <c r="D742" s="10" t="s">
        <v>945</v>
      </c>
      <c r="E742" s="10">
        <v>51</v>
      </c>
      <c r="F742" s="10">
        <v>254</v>
      </c>
      <c r="G742" s="52">
        <v>180</v>
      </c>
      <c r="H742" s="24">
        <v>1</v>
      </c>
      <c r="I742" s="53"/>
      <c r="J742" s="57"/>
      <c r="K742" s="54" t="s">
        <v>34</v>
      </c>
      <c r="L742" s="10">
        <v>1</v>
      </c>
      <c r="M742" s="57"/>
      <c r="N742" s="57"/>
      <c r="O742" s="57"/>
      <c r="P742" s="3"/>
      <c r="Q742" s="3"/>
      <c r="R742" s="54" t="s">
        <v>35</v>
      </c>
      <c r="S742" s="10" t="s">
        <v>907</v>
      </c>
      <c r="T742" s="3"/>
      <c r="U742" s="3"/>
      <c r="V742" s="78" t="s">
        <v>908</v>
      </c>
    </row>
    <row r="743" s="2" customFormat="1" ht="128.25" spans="2:22">
      <c r="B743" s="56">
        <v>337</v>
      </c>
      <c r="C743" s="10">
        <v>742</v>
      </c>
      <c r="D743" s="10" t="s">
        <v>946</v>
      </c>
      <c r="E743" s="10">
        <v>45</v>
      </c>
      <c r="F743" s="10">
        <v>180</v>
      </c>
      <c r="G743" s="52">
        <v>660</v>
      </c>
      <c r="H743" s="24">
        <v>1</v>
      </c>
      <c r="I743" s="53"/>
      <c r="J743" s="57"/>
      <c r="K743" s="54" t="s">
        <v>34</v>
      </c>
      <c r="L743" s="10">
        <v>1</v>
      </c>
      <c r="M743" s="57"/>
      <c r="N743" s="57"/>
      <c r="O743" s="57"/>
      <c r="P743" s="3"/>
      <c r="Q743" s="3"/>
      <c r="R743" s="54" t="s">
        <v>35</v>
      </c>
      <c r="S743" s="10" t="s">
        <v>907</v>
      </c>
      <c r="T743" s="3"/>
      <c r="U743" s="3"/>
      <c r="V743" s="78" t="s">
        <v>908</v>
      </c>
    </row>
    <row r="744" s="2" customFormat="1" ht="128.25" spans="2:22">
      <c r="B744" s="56">
        <v>338</v>
      </c>
      <c r="C744" s="10">
        <v>743</v>
      </c>
      <c r="D744" s="10" t="s">
        <v>921</v>
      </c>
      <c r="E744" s="10">
        <v>60.2</v>
      </c>
      <c r="F744" s="10">
        <v>200</v>
      </c>
      <c r="G744" s="52">
        <v>150</v>
      </c>
      <c r="H744" s="24">
        <v>1</v>
      </c>
      <c r="I744" s="53"/>
      <c r="J744" s="57"/>
      <c r="K744" s="54" t="s">
        <v>34</v>
      </c>
      <c r="L744" s="10">
        <v>1</v>
      </c>
      <c r="M744" s="57" t="s">
        <v>947</v>
      </c>
      <c r="N744" s="57"/>
      <c r="O744" s="57"/>
      <c r="P744" s="3"/>
      <c r="Q744" s="3"/>
      <c r="R744" s="54" t="s">
        <v>35</v>
      </c>
      <c r="S744" s="10" t="s">
        <v>907</v>
      </c>
      <c r="T744" s="3"/>
      <c r="U744" s="3"/>
      <c r="V744" s="78" t="s">
        <v>908</v>
      </c>
    </row>
    <row r="745" s="2" customFormat="1" ht="128.25" spans="2:22">
      <c r="B745" s="56">
        <v>339</v>
      </c>
      <c r="C745" s="10">
        <v>744</v>
      </c>
      <c r="D745" s="10" t="s">
        <v>948</v>
      </c>
      <c r="E745" s="10">
        <v>61.6</v>
      </c>
      <c r="F745" s="10">
        <v>240</v>
      </c>
      <c r="G745" s="52">
        <v>130</v>
      </c>
      <c r="H745" s="24">
        <v>1</v>
      </c>
      <c r="I745" s="53"/>
      <c r="J745" s="57"/>
      <c r="K745" s="54" t="s">
        <v>34</v>
      </c>
      <c r="L745" s="10">
        <v>1</v>
      </c>
      <c r="M745" s="57"/>
      <c r="N745" s="57"/>
      <c r="O745" s="57"/>
      <c r="P745" s="3"/>
      <c r="Q745" s="3"/>
      <c r="R745" s="54" t="s">
        <v>35</v>
      </c>
      <c r="S745" s="10" t="s">
        <v>907</v>
      </c>
      <c r="T745" s="3"/>
      <c r="U745" s="3"/>
      <c r="V745" s="78" t="s">
        <v>908</v>
      </c>
    </row>
    <row r="746" s="2" customFormat="1" ht="128.25" spans="2:22">
      <c r="B746" s="56">
        <v>340</v>
      </c>
      <c r="C746" s="10">
        <v>745</v>
      </c>
      <c r="D746" s="10" t="s">
        <v>949</v>
      </c>
      <c r="E746" s="10">
        <v>63.3</v>
      </c>
      <c r="F746" s="10">
        <v>245</v>
      </c>
      <c r="G746" s="52">
        <v>95</v>
      </c>
      <c r="H746" s="24">
        <v>1</v>
      </c>
      <c r="I746" s="53"/>
      <c r="J746" s="57"/>
      <c r="K746" s="54" t="s">
        <v>34</v>
      </c>
      <c r="L746" s="10">
        <v>1</v>
      </c>
      <c r="M746" s="57"/>
      <c r="N746" s="57"/>
      <c r="O746" s="57"/>
      <c r="P746" s="3"/>
      <c r="Q746" s="3"/>
      <c r="R746" s="54" t="s">
        <v>35</v>
      </c>
      <c r="S746" s="10" t="s">
        <v>907</v>
      </c>
      <c r="T746" s="3"/>
      <c r="U746" s="3"/>
      <c r="V746" s="78" t="s">
        <v>908</v>
      </c>
    </row>
    <row r="747" s="2" customFormat="1" ht="128.25" spans="2:22">
      <c r="B747" s="56">
        <v>341</v>
      </c>
      <c r="C747" s="10">
        <v>746</v>
      </c>
      <c r="D747" s="10" t="s">
        <v>950</v>
      </c>
      <c r="E747" s="10">
        <v>49</v>
      </c>
      <c r="F747" s="10">
        <v>180</v>
      </c>
      <c r="G747" s="52">
        <v>400</v>
      </c>
      <c r="H747" s="24">
        <v>1</v>
      </c>
      <c r="I747" s="53"/>
      <c r="J747" s="57" t="s">
        <v>951</v>
      </c>
      <c r="K747" s="54" t="s">
        <v>34</v>
      </c>
      <c r="L747" s="10">
        <v>1</v>
      </c>
      <c r="M747" s="57" t="s">
        <v>952</v>
      </c>
      <c r="N747" s="57"/>
      <c r="O747" s="57"/>
      <c r="P747" s="3"/>
      <c r="Q747" s="3"/>
      <c r="R747" s="54" t="s">
        <v>35</v>
      </c>
      <c r="S747" s="10" t="s">
        <v>907</v>
      </c>
      <c r="T747" s="3"/>
      <c r="U747" s="3"/>
      <c r="V747" s="78" t="s">
        <v>908</v>
      </c>
    </row>
    <row r="748" s="2" customFormat="1" ht="128.25" spans="2:22">
      <c r="B748" s="56">
        <v>342</v>
      </c>
      <c r="C748" s="10">
        <v>747</v>
      </c>
      <c r="D748" s="10" t="s">
        <v>953</v>
      </c>
      <c r="E748" s="10">
        <v>53</v>
      </c>
      <c r="F748" s="10">
        <v>200</v>
      </c>
      <c r="G748" s="52">
        <v>200</v>
      </c>
      <c r="H748" s="24">
        <v>1</v>
      </c>
      <c r="I748" s="53"/>
      <c r="J748" s="57" t="s">
        <v>951</v>
      </c>
      <c r="K748" s="54" t="s">
        <v>34</v>
      </c>
      <c r="L748" s="10">
        <v>1</v>
      </c>
      <c r="M748" s="57" t="s">
        <v>952</v>
      </c>
      <c r="N748" s="57"/>
      <c r="O748" s="57"/>
      <c r="P748" s="3"/>
      <c r="Q748" s="3"/>
      <c r="R748" s="54" t="s">
        <v>35</v>
      </c>
      <c r="S748" s="10" t="s">
        <v>907</v>
      </c>
      <c r="T748" s="3"/>
      <c r="U748" s="3"/>
      <c r="V748" s="78" t="s">
        <v>908</v>
      </c>
    </row>
    <row r="749" s="2" customFormat="1" ht="128.25" spans="2:22">
      <c r="B749" s="56">
        <v>343</v>
      </c>
      <c r="C749" s="10">
        <v>748</v>
      </c>
      <c r="D749" s="10" t="s">
        <v>954</v>
      </c>
      <c r="E749" s="10">
        <v>56.4</v>
      </c>
      <c r="F749" s="10">
        <v>195</v>
      </c>
      <c r="G749" s="52">
        <v>180</v>
      </c>
      <c r="H749" s="24">
        <v>1</v>
      </c>
      <c r="I749" s="53"/>
      <c r="J749" s="57" t="s">
        <v>955</v>
      </c>
      <c r="K749" s="54" t="s">
        <v>34</v>
      </c>
      <c r="L749" s="10">
        <v>1</v>
      </c>
      <c r="M749" s="57"/>
      <c r="N749" s="57"/>
      <c r="O749" s="57"/>
      <c r="P749" s="3"/>
      <c r="Q749" s="3"/>
      <c r="R749" s="54" t="s">
        <v>35</v>
      </c>
      <c r="S749" s="10" t="s">
        <v>907</v>
      </c>
      <c r="T749" s="3"/>
      <c r="U749" s="3"/>
      <c r="V749" s="78" t="s">
        <v>908</v>
      </c>
    </row>
    <row r="750" s="2" customFormat="1" ht="128.25" spans="2:22">
      <c r="B750" s="56">
        <v>344</v>
      </c>
      <c r="C750" s="10">
        <v>749</v>
      </c>
      <c r="D750" s="10" t="s">
        <v>956</v>
      </c>
      <c r="E750" s="10">
        <v>50.5</v>
      </c>
      <c r="F750" s="10">
        <v>210</v>
      </c>
      <c r="G750" s="52">
        <v>400</v>
      </c>
      <c r="H750" s="24">
        <v>1</v>
      </c>
      <c r="I750" s="53"/>
      <c r="J750" s="57" t="s">
        <v>957</v>
      </c>
      <c r="K750" s="54" t="s">
        <v>34</v>
      </c>
      <c r="L750" s="10">
        <v>1</v>
      </c>
      <c r="M750" s="57"/>
      <c r="N750" s="57"/>
      <c r="O750" s="57"/>
      <c r="P750" s="3"/>
      <c r="Q750" s="3"/>
      <c r="R750" s="54" t="s">
        <v>35</v>
      </c>
      <c r="S750" s="10" t="s">
        <v>907</v>
      </c>
      <c r="T750" s="3"/>
      <c r="U750" s="3"/>
      <c r="V750" s="78" t="s">
        <v>908</v>
      </c>
    </row>
    <row r="751" s="2" customFormat="1" ht="128.25" spans="2:22">
      <c r="B751" s="56">
        <v>345</v>
      </c>
      <c r="C751" s="10">
        <v>750</v>
      </c>
      <c r="D751" s="10" t="s">
        <v>958</v>
      </c>
      <c r="E751" s="10">
        <v>54</v>
      </c>
      <c r="F751" s="10">
        <v>200</v>
      </c>
      <c r="G751" s="52">
        <v>250</v>
      </c>
      <c r="H751" s="24">
        <v>1</v>
      </c>
      <c r="I751" s="53"/>
      <c r="J751" s="57" t="s">
        <v>957</v>
      </c>
      <c r="K751" s="54" t="s">
        <v>34</v>
      </c>
      <c r="L751" s="10">
        <v>1</v>
      </c>
      <c r="M751" s="57"/>
      <c r="N751" s="57"/>
      <c r="O751" s="57"/>
      <c r="P751" s="3"/>
      <c r="Q751" s="3"/>
      <c r="R751" s="54" t="s">
        <v>35</v>
      </c>
      <c r="S751" s="10" t="s">
        <v>907</v>
      </c>
      <c r="T751" s="3"/>
      <c r="U751" s="3"/>
      <c r="V751" s="78" t="s">
        <v>908</v>
      </c>
    </row>
    <row r="752" s="2" customFormat="1" ht="128.25" spans="2:22">
      <c r="B752" s="56">
        <v>346</v>
      </c>
      <c r="C752" s="10">
        <v>751</v>
      </c>
      <c r="D752" s="10" t="s">
        <v>950</v>
      </c>
      <c r="E752" s="10">
        <v>58.3</v>
      </c>
      <c r="F752" s="10">
        <v>220</v>
      </c>
      <c r="G752" s="52">
        <v>160</v>
      </c>
      <c r="H752" s="24">
        <v>1</v>
      </c>
      <c r="I752" s="53"/>
      <c r="J752" s="57"/>
      <c r="K752" s="54" t="s">
        <v>34</v>
      </c>
      <c r="L752" s="10">
        <v>1</v>
      </c>
      <c r="M752" s="57" t="s">
        <v>952</v>
      </c>
      <c r="N752" s="57"/>
      <c r="O752" s="57"/>
      <c r="P752" s="3"/>
      <c r="Q752" s="3"/>
      <c r="R752" s="54" t="s">
        <v>35</v>
      </c>
      <c r="S752" s="10" t="s">
        <v>907</v>
      </c>
      <c r="T752" s="3"/>
      <c r="U752" s="3"/>
      <c r="V752" s="78" t="s">
        <v>908</v>
      </c>
    </row>
    <row r="753" s="2" customFormat="1" ht="128.25" spans="2:22">
      <c r="B753" s="56">
        <v>347</v>
      </c>
      <c r="C753" s="10">
        <v>752</v>
      </c>
      <c r="D753" s="10" t="s">
        <v>959</v>
      </c>
      <c r="E753" s="10">
        <v>58.5</v>
      </c>
      <c r="F753" s="10">
        <v>220</v>
      </c>
      <c r="G753" s="52">
        <v>130</v>
      </c>
      <c r="H753" s="24">
        <v>1</v>
      </c>
      <c r="I753" s="53"/>
      <c r="J753" s="57"/>
      <c r="K753" s="54" t="s">
        <v>34</v>
      </c>
      <c r="L753" s="10">
        <v>1</v>
      </c>
      <c r="M753" s="57" t="s">
        <v>952</v>
      </c>
      <c r="N753" s="57"/>
      <c r="O753" s="57"/>
      <c r="P753" s="3"/>
      <c r="Q753" s="3"/>
      <c r="R753" s="54" t="s">
        <v>35</v>
      </c>
      <c r="S753" s="10" t="s">
        <v>907</v>
      </c>
      <c r="T753" s="3"/>
      <c r="U753" s="3"/>
      <c r="V753" s="78" t="s">
        <v>908</v>
      </c>
    </row>
    <row r="754" s="2" customFormat="1" ht="128.25" spans="2:22">
      <c r="B754" s="56">
        <v>348</v>
      </c>
      <c r="C754" s="10">
        <v>753</v>
      </c>
      <c r="D754" s="10" t="s">
        <v>960</v>
      </c>
      <c r="E754" s="10">
        <v>58</v>
      </c>
      <c r="F754" s="10">
        <v>220</v>
      </c>
      <c r="G754" s="52">
        <v>145</v>
      </c>
      <c r="H754" s="24">
        <v>1</v>
      </c>
      <c r="I754" s="53"/>
      <c r="J754" s="57"/>
      <c r="K754" s="54" t="s">
        <v>34</v>
      </c>
      <c r="L754" s="10">
        <v>1</v>
      </c>
      <c r="M754" s="57" t="s">
        <v>952</v>
      </c>
      <c r="N754" s="57"/>
      <c r="O754" s="57"/>
      <c r="P754" s="3"/>
      <c r="Q754" s="3"/>
      <c r="R754" s="54" t="s">
        <v>35</v>
      </c>
      <c r="S754" s="10" t="s">
        <v>907</v>
      </c>
      <c r="T754" s="3"/>
      <c r="U754" s="3"/>
      <c r="V754" s="78" t="s">
        <v>908</v>
      </c>
    </row>
    <row r="755" s="2" customFormat="1" ht="15.75" spans="2:22">
      <c r="B755" s="56">
        <v>349</v>
      </c>
      <c r="C755" s="10">
        <v>754</v>
      </c>
      <c r="D755" s="10" t="s">
        <v>961</v>
      </c>
      <c r="E755" s="10"/>
      <c r="F755" s="10"/>
      <c r="G755" s="52">
        <v>211</v>
      </c>
      <c r="H755" s="24">
        <v>1</v>
      </c>
      <c r="I755" s="53"/>
      <c r="J755" s="57"/>
      <c r="K755" s="54" t="s">
        <v>34</v>
      </c>
      <c r="L755" s="10">
        <v>1</v>
      </c>
      <c r="M755" s="57"/>
      <c r="N755" s="57"/>
      <c r="O755" s="57"/>
      <c r="P755" s="3"/>
      <c r="Q755" s="3"/>
      <c r="R755" s="10" t="s">
        <v>962</v>
      </c>
      <c r="S755" s="10"/>
      <c r="T755" s="3"/>
      <c r="U755" s="3"/>
      <c r="V755" s="78"/>
    </row>
    <row r="756" s="2" customFormat="1" ht="15.75" spans="2:22">
      <c r="B756" s="56">
        <v>350</v>
      </c>
      <c r="C756" s="10">
        <v>755</v>
      </c>
      <c r="D756" s="10" t="s">
        <v>961</v>
      </c>
      <c r="E756" s="10" t="s">
        <v>963</v>
      </c>
      <c r="F756" s="10" t="s">
        <v>964</v>
      </c>
      <c r="G756" s="52">
        <v>154</v>
      </c>
      <c r="H756" s="24">
        <v>1</v>
      </c>
      <c r="I756" s="53"/>
      <c r="J756" s="79"/>
      <c r="K756" s="54" t="s">
        <v>34</v>
      </c>
      <c r="L756" s="10">
        <v>1</v>
      </c>
      <c r="M756" s="57"/>
      <c r="N756" s="57"/>
      <c r="O756" s="57"/>
      <c r="P756" s="3"/>
      <c r="Q756" s="3"/>
      <c r="R756" s="10" t="s">
        <v>965</v>
      </c>
      <c r="S756" s="10" t="s">
        <v>966</v>
      </c>
      <c r="T756" s="3"/>
      <c r="U756" s="3"/>
      <c r="V756" s="59" t="s">
        <v>967</v>
      </c>
    </row>
    <row r="757" s="2" customFormat="1" ht="31.5" spans="2:22">
      <c r="B757" s="56">
        <v>351</v>
      </c>
      <c r="C757" s="10">
        <v>756</v>
      </c>
      <c r="D757" s="10" t="s">
        <v>968</v>
      </c>
      <c r="E757" s="10" t="s">
        <v>969</v>
      </c>
      <c r="F757" s="10" t="s">
        <v>970</v>
      </c>
      <c r="G757" s="52">
        <v>114</v>
      </c>
      <c r="H757" s="24">
        <v>1</v>
      </c>
      <c r="I757" s="53"/>
      <c r="J757" s="79" t="s">
        <v>971</v>
      </c>
      <c r="K757" s="54" t="s">
        <v>34</v>
      </c>
      <c r="L757" s="10">
        <v>1</v>
      </c>
      <c r="M757" s="57" t="s">
        <v>972</v>
      </c>
      <c r="N757" s="57"/>
      <c r="O757" s="57"/>
      <c r="P757" s="3"/>
      <c r="Q757" s="3"/>
      <c r="R757" s="10" t="s">
        <v>962</v>
      </c>
      <c r="S757" s="10" t="s">
        <v>966</v>
      </c>
      <c r="T757" s="3"/>
      <c r="U757" s="3"/>
      <c r="V757" s="59" t="s">
        <v>967</v>
      </c>
    </row>
    <row r="758" s="2" customFormat="1" ht="94.5" spans="2:22">
      <c r="B758" s="56">
        <v>352</v>
      </c>
      <c r="C758" s="10">
        <v>757</v>
      </c>
      <c r="D758" s="10" t="s">
        <v>973</v>
      </c>
      <c r="E758" s="10" t="s">
        <v>974</v>
      </c>
      <c r="F758" s="10" t="s">
        <v>975</v>
      </c>
      <c r="G758" s="52">
        <v>110</v>
      </c>
      <c r="H758" s="24">
        <v>1</v>
      </c>
      <c r="I758" s="53"/>
      <c r="J758" s="79"/>
      <c r="K758" s="54" t="s">
        <v>34</v>
      </c>
      <c r="L758" s="10">
        <v>1</v>
      </c>
      <c r="M758" s="79" t="s">
        <v>976</v>
      </c>
      <c r="N758" s="57"/>
      <c r="O758" s="57"/>
      <c r="P758" s="3"/>
      <c r="Q758" s="3"/>
      <c r="R758" s="10" t="s">
        <v>962</v>
      </c>
      <c r="S758" s="10" t="s">
        <v>966</v>
      </c>
      <c r="T758" s="3"/>
      <c r="U758" s="3"/>
      <c r="V758" s="59" t="s">
        <v>967</v>
      </c>
    </row>
    <row r="759" s="2" customFormat="1" ht="15.75" spans="2:22">
      <c r="B759" s="56">
        <v>353</v>
      </c>
      <c r="C759" s="10">
        <v>758</v>
      </c>
      <c r="D759" s="10" t="s">
        <v>977</v>
      </c>
      <c r="E759" s="10">
        <v>135</v>
      </c>
      <c r="F759" s="10">
        <v>280</v>
      </c>
      <c r="G759" s="52">
        <v>211</v>
      </c>
      <c r="H759" s="24">
        <v>1</v>
      </c>
      <c r="I759" s="53"/>
      <c r="J759" s="57" t="s">
        <v>978</v>
      </c>
      <c r="K759" s="54" t="s">
        <v>34</v>
      </c>
      <c r="L759" s="10">
        <v>1</v>
      </c>
      <c r="M759" s="57"/>
      <c r="N759" s="57"/>
      <c r="O759" s="57"/>
      <c r="P759" s="3"/>
      <c r="Q759" s="3"/>
      <c r="R759" s="10" t="s">
        <v>965</v>
      </c>
      <c r="S759" s="10"/>
      <c r="T759" s="3"/>
      <c r="U759" s="3"/>
      <c r="V759" s="59" t="s">
        <v>967</v>
      </c>
    </row>
    <row r="760" s="2" customFormat="1" ht="15.75" spans="2:22">
      <c r="B760" s="56">
        <v>354</v>
      </c>
      <c r="C760" s="10">
        <v>759</v>
      </c>
      <c r="D760" s="10" t="s">
        <v>977</v>
      </c>
      <c r="E760" s="10">
        <v>138</v>
      </c>
      <c r="F760" s="10">
        <v>80</v>
      </c>
      <c r="G760" s="52">
        <v>210</v>
      </c>
      <c r="H760" s="24">
        <v>1</v>
      </c>
      <c r="I760" s="53"/>
      <c r="J760" s="57"/>
      <c r="K760" s="54" t="s">
        <v>34</v>
      </c>
      <c r="L760" s="10">
        <v>1</v>
      </c>
      <c r="M760" s="57" t="s">
        <v>979</v>
      </c>
      <c r="N760" s="57"/>
      <c r="O760" s="57"/>
      <c r="P760" s="3"/>
      <c r="Q760" s="3"/>
      <c r="R760" s="10" t="s">
        <v>965</v>
      </c>
      <c r="S760" s="10"/>
      <c r="T760" s="3"/>
      <c r="U760" s="3"/>
      <c r="V760" s="59" t="s">
        <v>967</v>
      </c>
    </row>
    <row r="761" s="2" customFormat="1" ht="15.75" spans="2:22">
      <c r="B761" s="56">
        <v>355</v>
      </c>
      <c r="C761" s="10">
        <v>760</v>
      </c>
      <c r="D761" s="10" t="s">
        <v>980</v>
      </c>
      <c r="E761" s="10">
        <v>115</v>
      </c>
      <c r="F761" s="10">
        <v>263</v>
      </c>
      <c r="G761" s="52">
        <v>222</v>
      </c>
      <c r="H761" s="24">
        <v>1</v>
      </c>
      <c r="I761" s="53"/>
      <c r="J761" s="57"/>
      <c r="K761" s="54" t="s">
        <v>34</v>
      </c>
      <c r="L761" s="10">
        <v>1</v>
      </c>
      <c r="M761" s="57"/>
      <c r="N761" s="57"/>
      <c r="O761" s="57"/>
      <c r="P761" s="3"/>
      <c r="Q761" s="3"/>
      <c r="R761" s="10" t="s">
        <v>965</v>
      </c>
      <c r="S761" s="10"/>
      <c r="T761" s="3"/>
      <c r="U761" s="3"/>
      <c r="V761" s="59" t="s">
        <v>967</v>
      </c>
    </row>
    <row r="762" s="2" customFormat="1" ht="15.75" spans="2:22">
      <c r="B762" s="56">
        <v>356</v>
      </c>
      <c r="C762" s="10">
        <v>761</v>
      </c>
      <c r="D762" s="10" t="s">
        <v>980</v>
      </c>
      <c r="E762" s="10">
        <v>128.93</v>
      </c>
      <c r="F762" s="10">
        <v>264.09</v>
      </c>
      <c r="G762" s="52">
        <v>220</v>
      </c>
      <c r="H762" s="24">
        <v>1</v>
      </c>
      <c r="I762" s="53"/>
      <c r="J762" s="57"/>
      <c r="K762" s="54" t="s">
        <v>34</v>
      </c>
      <c r="L762" s="10">
        <v>1</v>
      </c>
      <c r="M762" s="57"/>
      <c r="N762" s="57"/>
      <c r="O762" s="57"/>
      <c r="P762" s="3"/>
      <c r="Q762" s="3"/>
      <c r="R762" s="10" t="s">
        <v>962</v>
      </c>
      <c r="S762" s="10" t="s">
        <v>981</v>
      </c>
      <c r="T762" s="3"/>
      <c r="U762" s="3"/>
      <c r="V762" s="59" t="s">
        <v>967</v>
      </c>
    </row>
    <row r="763" s="2" customFormat="1" ht="15.75" spans="2:22">
      <c r="B763" s="56">
        <v>357</v>
      </c>
      <c r="C763" s="10">
        <v>762</v>
      </c>
      <c r="D763" s="10" t="s">
        <v>982</v>
      </c>
      <c r="E763" s="10">
        <v>100</v>
      </c>
      <c r="F763" s="10">
        <v>272</v>
      </c>
      <c r="G763" s="52">
        <v>172</v>
      </c>
      <c r="H763" s="24">
        <v>1</v>
      </c>
      <c r="I763" s="53"/>
      <c r="J763" s="57"/>
      <c r="K763" s="54" t="s">
        <v>34</v>
      </c>
      <c r="L763" s="10">
        <v>1</v>
      </c>
      <c r="M763" s="57"/>
      <c r="N763" s="57"/>
      <c r="O763" s="57"/>
      <c r="P763" s="3"/>
      <c r="Q763" s="3"/>
      <c r="R763" s="10" t="s">
        <v>962</v>
      </c>
      <c r="S763" s="10" t="s">
        <v>983</v>
      </c>
      <c r="T763" s="3"/>
      <c r="U763" s="3"/>
      <c r="V763" s="59" t="s">
        <v>984</v>
      </c>
    </row>
    <row r="764" s="2" customFormat="1" ht="17" customHeight="1" spans="2:22">
      <c r="B764" s="56">
        <v>358</v>
      </c>
      <c r="C764" s="10">
        <v>763</v>
      </c>
      <c r="D764" s="10" t="s">
        <v>982</v>
      </c>
      <c r="E764" s="10" t="s">
        <v>985</v>
      </c>
      <c r="F764" s="10" t="s">
        <v>986</v>
      </c>
      <c r="G764" s="52">
        <v>170</v>
      </c>
      <c r="H764" s="24">
        <v>1</v>
      </c>
      <c r="I764" s="53"/>
      <c r="J764" s="57"/>
      <c r="K764" s="54" t="s">
        <v>34</v>
      </c>
      <c r="L764" s="10">
        <v>1</v>
      </c>
      <c r="M764" s="57"/>
      <c r="N764" s="57"/>
      <c r="O764" s="57"/>
      <c r="P764" s="3"/>
      <c r="Q764" s="3"/>
      <c r="R764" s="10" t="s">
        <v>962</v>
      </c>
      <c r="S764" s="10" t="s">
        <v>987</v>
      </c>
      <c r="T764" s="3"/>
      <c r="U764" s="3"/>
      <c r="V764" s="59" t="s">
        <v>984</v>
      </c>
    </row>
    <row r="765" s="2" customFormat="1" ht="15.75" spans="2:22">
      <c r="B765" s="56">
        <v>359</v>
      </c>
      <c r="C765" s="10">
        <v>764</v>
      </c>
      <c r="D765" s="10" t="s">
        <v>988</v>
      </c>
      <c r="E765" s="10">
        <v>145</v>
      </c>
      <c r="F765" s="10">
        <v>260</v>
      </c>
      <c r="G765" s="52">
        <v>396</v>
      </c>
      <c r="H765" s="24" t="s">
        <v>136</v>
      </c>
      <c r="I765" s="53"/>
      <c r="J765" s="57" t="s">
        <v>989</v>
      </c>
      <c r="K765" s="54" t="s">
        <v>34</v>
      </c>
      <c r="L765" s="10" t="s">
        <v>461</v>
      </c>
      <c r="M765" s="57"/>
      <c r="N765" s="57"/>
      <c r="O765" s="57"/>
      <c r="P765" s="3"/>
      <c r="Q765" s="3"/>
      <c r="R765" s="10" t="s">
        <v>962</v>
      </c>
      <c r="S765" s="10" t="s">
        <v>983</v>
      </c>
      <c r="T765" s="3"/>
      <c r="U765" s="3"/>
      <c r="V765" s="59" t="s">
        <v>984</v>
      </c>
    </row>
    <row r="766" s="2" customFormat="1" ht="15.75" spans="2:22">
      <c r="B766" s="56">
        <v>360</v>
      </c>
      <c r="C766" s="10">
        <v>765</v>
      </c>
      <c r="D766" s="10" t="s">
        <v>990</v>
      </c>
      <c r="E766" s="10">
        <v>155</v>
      </c>
      <c r="F766" s="10">
        <v>265</v>
      </c>
      <c r="G766" s="52">
        <v>324</v>
      </c>
      <c r="H766" s="24">
        <v>1</v>
      </c>
      <c r="I766" s="53"/>
      <c r="J766" s="57"/>
      <c r="K766" s="54" t="s">
        <v>34</v>
      </c>
      <c r="L766" s="10">
        <v>1</v>
      </c>
      <c r="M766" s="57"/>
      <c r="N766" s="57"/>
      <c r="O766" s="57"/>
      <c r="P766" s="3"/>
      <c r="Q766" s="3"/>
      <c r="R766" s="10" t="s">
        <v>962</v>
      </c>
      <c r="S766" s="10" t="s">
        <v>983</v>
      </c>
      <c r="T766" s="3"/>
      <c r="U766" s="3"/>
      <c r="V766" s="59" t="s">
        <v>984</v>
      </c>
    </row>
    <row r="767" s="2" customFormat="1" ht="15.75" spans="2:22">
      <c r="B767" s="56">
        <v>361</v>
      </c>
      <c r="C767" s="10">
        <v>766</v>
      </c>
      <c r="D767" s="10" t="s">
        <v>991</v>
      </c>
      <c r="E767" s="10">
        <v>160</v>
      </c>
      <c r="F767" s="10">
        <v>275</v>
      </c>
      <c r="G767" s="52">
        <v>263</v>
      </c>
      <c r="H767" s="24">
        <v>1</v>
      </c>
      <c r="I767" s="53"/>
      <c r="J767" s="57"/>
      <c r="K767" s="54" t="s">
        <v>34</v>
      </c>
      <c r="L767" s="10">
        <v>1</v>
      </c>
      <c r="M767" s="57"/>
      <c r="N767" s="57"/>
      <c r="O767" s="57"/>
      <c r="P767" s="3"/>
      <c r="Q767" s="3"/>
      <c r="R767" s="10" t="s">
        <v>962</v>
      </c>
      <c r="S767" s="10" t="s">
        <v>983</v>
      </c>
      <c r="T767" s="3"/>
      <c r="U767" s="3"/>
      <c r="V767" s="59" t="s">
        <v>984</v>
      </c>
    </row>
    <row r="768" s="2" customFormat="1" ht="15.75" spans="2:22">
      <c r="B768" s="56">
        <v>362</v>
      </c>
      <c r="C768" s="10">
        <v>767</v>
      </c>
      <c r="D768" s="10" t="s">
        <v>992</v>
      </c>
      <c r="E768" s="10">
        <v>156</v>
      </c>
      <c r="F768" s="10">
        <v>270</v>
      </c>
      <c r="G768" s="52">
        <v>303</v>
      </c>
      <c r="H768" s="24">
        <v>1</v>
      </c>
      <c r="I768" s="53"/>
      <c r="J768" s="57"/>
      <c r="K768" s="54" t="s">
        <v>34</v>
      </c>
      <c r="L768" s="10">
        <v>1</v>
      </c>
      <c r="M768" s="57"/>
      <c r="N768" s="57"/>
      <c r="O768" s="57"/>
      <c r="P768" s="3"/>
      <c r="Q768" s="3"/>
      <c r="R768" s="10" t="s">
        <v>962</v>
      </c>
      <c r="S768" s="10" t="s">
        <v>983</v>
      </c>
      <c r="T768" s="3"/>
      <c r="U768" s="3"/>
      <c r="V768" s="59" t="s">
        <v>984</v>
      </c>
    </row>
    <row r="769" s="2" customFormat="1" ht="15.75" spans="2:22">
      <c r="B769" s="56">
        <v>363</v>
      </c>
      <c r="C769" s="10">
        <v>768</v>
      </c>
      <c r="D769" s="10" t="s">
        <v>993</v>
      </c>
      <c r="E769" s="10">
        <v>155</v>
      </c>
      <c r="F769" s="10">
        <v>270</v>
      </c>
      <c r="G769" s="52">
        <v>281</v>
      </c>
      <c r="H769" s="24">
        <v>1</v>
      </c>
      <c r="I769" s="53"/>
      <c r="J769" s="57"/>
      <c r="K769" s="54" t="s">
        <v>34</v>
      </c>
      <c r="L769" s="10">
        <v>1</v>
      </c>
      <c r="M769" s="57"/>
      <c r="N769" s="57"/>
      <c r="O769" s="57"/>
      <c r="P769" s="3"/>
      <c r="Q769" s="3"/>
      <c r="R769" s="10" t="s">
        <v>962</v>
      </c>
      <c r="S769" s="10" t="s">
        <v>983</v>
      </c>
      <c r="T769" s="3"/>
      <c r="U769" s="3"/>
      <c r="V769" s="59" t="s">
        <v>984</v>
      </c>
    </row>
    <row r="770" s="2" customFormat="1" ht="15.75" spans="2:22">
      <c r="B770" s="56">
        <v>364</v>
      </c>
      <c r="C770" s="10">
        <v>769</v>
      </c>
      <c r="D770" s="10" t="s">
        <v>992</v>
      </c>
      <c r="E770" s="10">
        <v>106</v>
      </c>
      <c r="F770" s="10">
        <v>259</v>
      </c>
      <c r="G770" s="52">
        <v>334</v>
      </c>
      <c r="H770" s="24">
        <v>1</v>
      </c>
      <c r="I770" s="53"/>
      <c r="J770" s="57"/>
      <c r="K770" s="54" t="s">
        <v>34</v>
      </c>
      <c r="L770" s="10">
        <v>1</v>
      </c>
      <c r="M770" s="57"/>
      <c r="N770" s="57"/>
      <c r="O770" s="57"/>
      <c r="P770" s="3"/>
      <c r="Q770" s="3"/>
      <c r="R770" s="10" t="s">
        <v>962</v>
      </c>
      <c r="S770" s="10" t="s">
        <v>983</v>
      </c>
      <c r="T770" s="3"/>
      <c r="U770" s="3"/>
      <c r="V770" s="59" t="s">
        <v>984</v>
      </c>
    </row>
    <row r="771" s="2" customFormat="1" ht="15.75" spans="2:22">
      <c r="B771" s="56">
        <v>365</v>
      </c>
      <c r="C771" s="10">
        <v>770</v>
      </c>
      <c r="D771" s="10" t="s">
        <v>992</v>
      </c>
      <c r="E771" s="10" t="s">
        <v>994</v>
      </c>
      <c r="F771" s="10" t="s">
        <v>995</v>
      </c>
      <c r="G771" s="52">
        <v>330</v>
      </c>
      <c r="H771" s="24">
        <v>1</v>
      </c>
      <c r="I771" s="53"/>
      <c r="J771" s="57"/>
      <c r="K771" s="54" t="s">
        <v>34</v>
      </c>
      <c r="L771" s="10">
        <v>1</v>
      </c>
      <c r="M771" s="57"/>
      <c r="N771" s="57"/>
      <c r="O771" s="57"/>
      <c r="P771" s="3"/>
      <c r="Q771" s="3"/>
      <c r="R771" s="10" t="s">
        <v>962</v>
      </c>
      <c r="S771" s="10" t="s">
        <v>987</v>
      </c>
      <c r="T771" s="3"/>
      <c r="U771" s="3"/>
      <c r="V771" s="59" t="s">
        <v>984</v>
      </c>
    </row>
    <row r="772" s="2" customFormat="1" ht="15.75" spans="2:22">
      <c r="B772" s="56">
        <v>366</v>
      </c>
      <c r="C772" s="10">
        <v>771</v>
      </c>
      <c r="D772" s="10" t="s">
        <v>996</v>
      </c>
      <c r="E772" s="10">
        <v>130</v>
      </c>
      <c r="F772" s="10">
        <v>260</v>
      </c>
      <c r="G772" s="52">
        <v>269</v>
      </c>
      <c r="H772" s="24">
        <v>1</v>
      </c>
      <c r="I772" s="53"/>
      <c r="J772" s="57"/>
      <c r="K772" s="54" t="s">
        <v>34</v>
      </c>
      <c r="L772" s="10">
        <v>1</v>
      </c>
      <c r="M772" s="57"/>
      <c r="N772" s="57"/>
      <c r="O772" s="57"/>
      <c r="P772" s="3"/>
      <c r="Q772" s="3"/>
      <c r="R772" s="10" t="s">
        <v>962</v>
      </c>
      <c r="S772" s="10" t="s">
        <v>983</v>
      </c>
      <c r="T772" s="3"/>
      <c r="U772" s="3"/>
      <c r="V772" s="59" t="s">
        <v>984</v>
      </c>
    </row>
    <row r="773" s="2" customFormat="1" ht="15.75" spans="2:22">
      <c r="B773" s="56">
        <v>367</v>
      </c>
      <c r="C773" s="10">
        <v>772</v>
      </c>
      <c r="D773" s="10" t="s">
        <v>997</v>
      </c>
      <c r="E773" s="10">
        <v>130</v>
      </c>
      <c r="F773" s="10">
        <v>255</v>
      </c>
      <c r="G773" s="52">
        <v>256</v>
      </c>
      <c r="H773" s="24">
        <v>1</v>
      </c>
      <c r="I773" s="53"/>
      <c r="J773" s="57"/>
      <c r="K773" s="54" t="s">
        <v>34</v>
      </c>
      <c r="L773" s="10">
        <v>1</v>
      </c>
      <c r="M773" s="57"/>
      <c r="N773" s="57"/>
      <c r="O773" s="57"/>
      <c r="P773" s="3"/>
      <c r="Q773" s="3"/>
      <c r="R773" s="10" t="s">
        <v>962</v>
      </c>
      <c r="S773" s="10" t="s">
        <v>983</v>
      </c>
      <c r="T773" s="3"/>
      <c r="U773" s="3"/>
      <c r="V773" s="59" t="s">
        <v>984</v>
      </c>
    </row>
    <row r="774" s="2" customFormat="1" ht="15.75" spans="2:22">
      <c r="B774" s="56">
        <v>368</v>
      </c>
      <c r="C774" s="10">
        <v>773</v>
      </c>
      <c r="D774" s="10" t="s">
        <v>998</v>
      </c>
      <c r="E774" s="10">
        <v>131</v>
      </c>
      <c r="F774" s="10">
        <v>258</v>
      </c>
      <c r="G774" s="52">
        <v>292</v>
      </c>
      <c r="H774" s="24">
        <v>1</v>
      </c>
      <c r="I774" s="53"/>
      <c r="J774" s="57"/>
      <c r="K774" s="54" t="s">
        <v>34</v>
      </c>
      <c r="L774" s="10">
        <v>1</v>
      </c>
      <c r="M774" s="57"/>
      <c r="N774" s="57"/>
      <c r="O774" s="57"/>
      <c r="P774" s="3"/>
      <c r="Q774" s="3"/>
      <c r="R774" s="10" t="s">
        <v>962</v>
      </c>
      <c r="S774" s="10" t="s">
        <v>983</v>
      </c>
      <c r="T774" s="3"/>
      <c r="U774" s="3"/>
      <c r="V774" s="59" t="s">
        <v>984</v>
      </c>
    </row>
    <row r="775" s="2" customFormat="1" ht="15.75" spans="2:22">
      <c r="B775" s="56">
        <v>369</v>
      </c>
      <c r="C775" s="10">
        <v>774</v>
      </c>
      <c r="D775" s="10" t="s">
        <v>992</v>
      </c>
      <c r="E775" s="10">
        <v>106</v>
      </c>
      <c r="F775" s="10">
        <v>259</v>
      </c>
      <c r="G775" s="52">
        <v>262</v>
      </c>
      <c r="H775" s="24">
        <v>1</v>
      </c>
      <c r="I775" s="53"/>
      <c r="J775" s="57"/>
      <c r="K775" s="54" t="s">
        <v>34</v>
      </c>
      <c r="L775" s="10">
        <v>1</v>
      </c>
      <c r="M775" s="57"/>
      <c r="N775" s="57"/>
      <c r="O775" s="57"/>
      <c r="P775" s="3"/>
      <c r="Q775" s="3"/>
      <c r="R775" s="10" t="s">
        <v>962</v>
      </c>
      <c r="S775" s="10" t="s">
        <v>999</v>
      </c>
      <c r="T775" s="3"/>
      <c r="U775" s="3"/>
      <c r="V775" s="59" t="s">
        <v>984</v>
      </c>
    </row>
    <row r="776" s="2" customFormat="1" ht="15.75" spans="2:22">
      <c r="B776" s="56">
        <v>370</v>
      </c>
      <c r="C776" s="10">
        <v>775</v>
      </c>
      <c r="D776" s="10" t="s">
        <v>1000</v>
      </c>
      <c r="E776" s="10">
        <v>110</v>
      </c>
      <c r="F776" s="10">
        <v>260</v>
      </c>
      <c r="G776" s="52">
        <v>262</v>
      </c>
      <c r="H776" s="24">
        <v>1</v>
      </c>
      <c r="I776" s="53"/>
      <c r="J776" s="57"/>
      <c r="K776" s="54" t="s">
        <v>34</v>
      </c>
      <c r="L776" s="10">
        <v>1</v>
      </c>
      <c r="M776" s="57"/>
      <c r="N776" s="57"/>
      <c r="O776" s="57"/>
      <c r="P776" s="3"/>
      <c r="Q776" s="3"/>
      <c r="R776" s="10" t="s">
        <v>962</v>
      </c>
      <c r="S776" s="10" t="s">
        <v>999</v>
      </c>
      <c r="T776" s="3"/>
      <c r="U776" s="3"/>
      <c r="V776" s="59" t="s">
        <v>984</v>
      </c>
    </row>
    <row r="777" s="2" customFormat="1" ht="15.75" spans="2:22">
      <c r="B777" s="56">
        <v>371</v>
      </c>
      <c r="C777" s="10">
        <v>776</v>
      </c>
      <c r="D777" s="10" t="s">
        <v>1001</v>
      </c>
      <c r="E777" s="10">
        <v>120</v>
      </c>
      <c r="F777" s="10">
        <v>265</v>
      </c>
      <c r="G777" s="52">
        <v>260</v>
      </c>
      <c r="H777" s="24">
        <v>1</v>
      </c>
      <c r="I777" s="53"/>
      <c r="J777" s="57"/>
      <c r="K777" s="54" t="s">
        <v>34</v>
      </c>
      <c r="L777" s="10">
        <v>1</v>
      </c>
      <c r="M777" s="57"/>
      <c r="N777" s="57"/>
      <c r="O777" s="57"/>
      <c r="P777" s="3"/>
      <c r="Q777" s="3"/>
      <c r="R777" s="10" t="s">
        <v>962</v>
      </c>
      <c r="S777" s="10" t="s">
        <v>999</v>
      </c>
      <c r="T777" s="3"/>
      <c r="U777" s="3"/>
      <c r="V777" s="59" t="s">
        <v>984</v>
      </c>
    </row>
    <row r="778" s="2" customFormat="1" ht="15.75" spans="2:22">
      <c r="B778" s="56">
        <v>372</v>
      </c>
      <c r="C778" s="10">
        <v>777</v>
      </c>
      <c r="D778" s="10" t="s">
        <v>1002</v>
      </c>
      <c r="E778" s="10">
        <v>130</v>
      </c>
      <c r="F778" s="10">
        <v>278</v>
      </c>
      <c r="G778" s="52">
        <v>285</v>
      </c>
      <c r="H778" s="24">
        <v>1</v>
      </c>
      <c r="I778" s="53"/>
      <c r="J778" s="57"/>
      <c r="K778" s="54" t="s">
        <v>34</v>
      </c>
      <c r="L778" s="10">
        <v>1</v>
      </c>
      <c r="M778" s="57"/>
      <c r="N778" s="57"/>
      <c r="O778" s="57"/>
      <c r="P778" s="3"/>
      <c r="Q778" s="3"/>
      <c r="R778" s="10" t="s">
        <v>962</v>
      </c>
      <c r="S778" s="10" t="s">
        <v>999</v>
      </c>
      <c r="T778" s="3"/>
      <c r="U778" s="3"/>
      <c r="V778" s="59" t="s">
        <v>984</v>
      </c>
    </row>
    <row r="779" s="2" customFormat="1" ht="15.75" spans="2:22">
      <c r="B779" s="56">
        <v>373</v>
      </c>
      <c r="C779" s="10">
        <v>778</v>
      </c>
      <c r="D779" s="10" t="s">
        <v>1003</v>
      </c>
      <c r="E779" s="10">
        <v>135</v>
      </c>
      <c r="F779" s="10">
        <v>170</v>
      </c>
      <c r="G779" s="52">
        <v>254</v>
      </c>
      <c r="H779" s="24">
        <v>1</v>
      </c>
      <c r="I779" s="53"/>
      <c r="J779" s="57"/>
      <c r="K779" s="54" t="s">
        <v>34</v>
      </c>
      <c r="L779" s="10">
        <v>1</v>
      </c>
      <c r="M779" s="57"/>
      <c r="N779" s="57"/>
      <c r="O779" s="57"/>
      <c r="P779" s="3"/>
      <c r="Q779" s="3"/>
      <c r="R779" s="10" t="s">
        <v>962</v>
      </c>
      <c r="S779" s="10" t="s">
        <v>999</v>
      </c>
      <c r="T779" s="3"/>
      <c r="U779" s="3"/>
      <c r="V779" s="59" t="s">
        <v>984</v>
      </c>
    </row>
    <row r="780" s="2" customFormat="1" ht="15.75" spans="2:22">
      <c r="B780" s="56">
        <v>374</v>
      </c>
      <c r="C780" s="10">
        <v>779</v>
      </c>
      <c r="D780" s="10" t="s">
        <v>992</v>
      </c>
      <c r="E780" s="10">
        <v>151</v>
      </c>
      <c r="F780" s="10">
        <v>245</v>
      </c>
      <c r="G780" s="52">
        <v>243</v>
      </c>
      <c r="H780" s="24">
        <v>1</v>
      </c>
      <c r="I780" s="53"/>
      <c r="J780" s="57"/>
      <c r="K780" s="54" t="s">
        <v>34</v>
      </c>
      <c r="L780" s="10">
        <v>1</v>
      </c>
      <c r="M780" s="57"/>
      <c r="N780" s="57"/>
      <c r="O780" s="57"/>
      <c r="P780" s="3"/>
      <c r="Q780" s="3"/>
      <c r="R780" s="10" t="s">
        <v>962</v>
      </c>
      <c r="S780" s="10" t="s">
        <v>983</v>
      </c>
      <c r="T780" s="3"/>
      <c r="U780" s="3"/>
      <c r="V780" s="59" t="s">
        <v>984</v>
      </c>
    </row>
    <row r="781" s="2" customFormat="1" ht="15.75" spans="2:22">
      <c r="B781" s="56">
        <v>375</v>
      </c>
      <c r="C781" s="10">
        <v>780</v>
      </c>
      <c r="D781" s="10" t="s">
        <v>1004</v>
      </c>
      <c r="E781" s="10">
        <v>102</v>
      </c>
      <c r="F781" s="10">
        <v>177</v>
      </c>
      <c r="G781" s="52">
        <v>273</v>
      </c>
      <c r="H781" s="24">
        <v>1</v>
      </c>
      <c r="I781" s="53"/>
      <c r="J781" s="57"/>
      <c r="K781" s="54" t="s">
        <v>34</v>
      </c>
      <c r="L781" s="10">
        <v>1</v>
      </c>
      <c r="M781" s="57"/>
      <c r="N781" s="57"/>
      <c r="O781" s="57"/>
      <c r="P781" s="3"/>
      <c r="Q781" s="3"/>
      <c r="R781" s="10" t="s">
        <v>962</v>
      </c>
      <c r="S781" s="10" t="s">
        <v>983</v>
      </c>
      <c r="T781" s="3"/>
      <c r="U781" s="3"/>
      <c r="V781" s="59" t="s">
        <v>984</v>
      </c>
    </row>
    <row r="782" s="2" customFormat="1" ht="15.75" spans="2:22">
      <c r="B782" s="56">
        <v>376</v>
      </c>
      <c r="C782" s="10">
        <v>781</v>
      </c>
      <c r="D782" s="10" t="s">
        <v>1005</v>
      </c>
      <c r="E782" s="10">
        <v>104</v>
      </c>
      <c r="F782" s="10">
        <v>192</v>
      </c>
      <c r="G782" s="52">
        <v>240</v>
      </c>
      <c r="H782" s="24">
        <v>1</v>
      </c>
      <c r="I782" s="53"/>
      <c r="J782" s="57"/>
      <c r="K782" s="54" t="s">
        <v>34</v>
      </c>
      <c r="L782" s="10">
        <v>1</v>
      </c>
      <c r="M782" s="57"/>
      <c r="N782" s="57"/>
      <c r="O782" s="57"/>
      <c r="P782" s="3"/>
      <c r="Q782" s="3"/>
      <c r="R782" s="10" t="s">
        <v>962</v>
      </c>
      <c r="S782" s="10" t="s">
        <v>983</v>
      </c>
      <c r="T782" s="3"/>
      <c r="U782" s="3"/>
      <c r="V782" s="59" t="s">
        <v>984</v>
      </c>
    </row>
    <row r="783" s="2" customFormat="1" ht="15.75" spans="2:22">
      <c r="B783" s="56">
        <v>377</v>
      </c>
      <c r="C783" s="10">
        <v>782</v>
      </c>
      <c r="D783" s="10" t="s">
        <v>1005</v>
      </c>
      <c r="E783" s="10" t="s">
        <v>1006</v>
      </c>
      <c r="F783" s="10" t="s">
        <v>1007</v>
      </c>
      <c r="G783" s="52">
        <v>240</v>
      </c>
      <c r="H783" s="24">
        <v>1</v>
      </c>
      <c r="I783" s="53"/>
      <c r="J783" s="57"/>
      <c r="K783" s="54" t="s">
        <v>34</v>
      </c>
      <c r="L783" s="10">
        <v>1</v>
      </c>
      <c r="M783" s="57"/>
      <c r="N783" s="57"/>
      <c r="O783" s="57"/>
      <c r="P783" s="3"/>
      <c r="Q783" s="3"/>
      <c r="R783" s="10" t="s">
        <v>962</v>
      </c>
      <c r="S783" s="10" t="s">
        <v>987</v>
      </c>
      <c r="T783" s="3"/>
      <c r="U783" s="3"/>
      <c r="V783" s="59" t="s">
        <v>984</v>
      </c>
    </row>
    <row r="784" s="2" customFormat="1" ht="15.75" spans="2:22">
      <c r="B784" s="56">
        <v>378</v>
      </c>
      <c r="C784" s="10">
        <v>783</v>
      </c>
      <c r="D784" s="10" t="s">
        <v>1008</v>
      </c>
      <c r="E784" s="10">
        <v>125</v>
      </c>
      <c r="F784" s="10">
        <v>210</v>
      </c>
      <c r="G784" s="52">
        <v>228</v>
      </c>
      <c r="H784" s="24">
        <v>1</v>
      </c>
      <c r="I784" s="53"/>
      <c r="J784" s="57"/>
      <c r="K784" s="54" t="s">
        <v>34</v>
      </c>
      <c r="L784" s="10">
        <v>1</v>
      </c>
      <c r="M784" s="57"/>
      <c r="N784" s="57"/>
      <c r="O784" s="57"/>
      <c r="P784" s="3"/>
      <c r="Q784" s="3"/>
      <c r="R784" s="10" t="s">
        <v>962</v>
      </c>
      <c r="S784" s="10" t="s">
        <v>983</v>
      </c>
      <c r="T784" s="3"/>
      <c r="U784" s="3"/>
      <c r="V784" s="59" t="s">
        <v>984</v>
      </c>
    </row>
    <row r="785" s="2" customFormat="1" ht="71.25" spans="2:22">
      <c r="B785" s="56">
        <v>379</v>
      </c>
      <c r="C785" s="10">
        <v>784</v>
      </c>
      <c r="D785" s="10" t="s">
        <v>1009</v>
      </c>
      <c r="E785" s="10">
        <v>105</v>
      </c>
      <c r="F785" s="10">
        <v>210</v>
      </c>
      <c r="G785" s="52">
        <v>225</v>
      </c>
      <c r="H785" s="24">
        <v>1</v>
      </c>
      <c r="I785" s="53"/>
      <c r="J785" s="57"/>
      <c r="K785" s="54" t="s">
        <v>34</v>
      </c>
      <c r="L785" s="10">
        <v>1</v>
      </c>
      <c r="M785" s="57"/>
      <c r="N785" s="57"/>
      <c r="O785" s="57"/>
      <c r="P785" s="3"/>
      <c r="Q785" s="3"/>
      <c r="R785" s="54" t="s">
        <v>63</v>
      </c>
      <c r="S785" s="10">
        <v>700</v>
      </c>
      <c r="T785" s="3"/>
      <c r="U785" s="3"/>
      <c r="V785" s="28" t="s">
        <v>1010</v>
      </c>
    </row>
    <row r="786" s="2" customFormat="1" ht="71.25" spans="2:22">
      <c r="B786" s="56">
        <v>380</v>
      </c>
      <c r="C786" s="10">
        <v>785</v>
      </c>
      <c r="D786" s="10" t="s">
        <v>1011</v>
      </c>
      <c r="E786" s="10">
        <v>75</v>
      </c>
      <c r="F786" s="10">
        <v>170</v>
      </c>
      <c r="G786" s="52">
        <v>220</v>
      </c>
      <c r="H786" s="24">
        <v>1</v>
      </c>
      <c r="I786" s="53"/>
      <c r="J786" s="57" t="s">
        <v>1012</v>
      </c>
      <c r="K786" s="54" t="s">
        <v>34</v>
      </c>
      <c r="L786" s="10">
        <v>1</v>
      </c>
      <c r="M786" s="57"/>
      <c r="N786" s="57"/>
      <c r="O786" s="57"/>
      <c r="P786" s="3"/>
      <c r="Q786" s="3"/>
      <c r="R786" s="54" t="s">
        <v>67</v>
      </c>
      <c r="S786" s="10" t="s">
        <v>1013</v>
      </c>
      <c r="T786" s="3"/>
      <c r="U786" s="3"/>
      <c r="V786" s="28" t="s">
        <v>1010</v>
      </c>
    </row>
    <row r="787" s="2" customFormat="1" ht="15.75" spans="2:22">
      <c r="B787" s="56">
        <v>381</v>
      </c>
      <c r="C787" s="2">
        <v>786</v>
      </c>
      <c r="D787" s="10" t="s">
        <v>921</v>
      </c>
      <c r="E787" s="10">
        <v>58</v>
      </c>
      <c r="F787" s="10">
        <v>198</v>
      </c>
      <c r="G787" s="52">
        <v>80</v>
      </c>
      <c r="H787" s="24">
        <v>1</v>
      </c>
      <c r="I787" s="53"/>
      <c r="J787" s="57"/>
      <c r="K787" s="54" t="s">
        <v>34</v>
      </c>
      <c r="L787" s="10">
        <v>1</v>
      </c>
      <c r="M787" s="57"/>
      <c r="N787" s="57"/>
      <c r="O787" s="57"/>
      <c r="P787" s="3"/>
      <c r="Q787" s="3"/>
      <c r="R787" s="10" t="s">
        <v>965</v>
      </c>
      <c r="S787" s="10"/>
      <c r="T787" s="3"/>
      <c r="U787" s="3"/>
      <c r="V787" s="59" t="s">
        <v>1014</v>
      </c>
    </row>
    <row r="788" s="2" customFormat="1" ht="15.75" spans="2:22">
      <c r="B788" s="56">
        <v>382</v>
      </c>
      <c r="C788" s="2">
        <v>787</v>
      </c>
      <c r="D788" s="10" t="s">
        <v>1015</v>
      </c>
      <c r="E788" s="10">
        <v>55</v>
      </c>
      <c r="F788" s="10">
        <v>195</v>
      </c>
      <c r="G788" s="52">
        <v>80</v>
      </c>
      <c r="H788" s="24">
        <v>1</v>
      </c>
      <c r="I788" s="53"/>
      <c r="J788" s="57"/>
      <c r="K788" s="54" t="s">
        <v>34</v>
      </c>
      <c r="L788" s="10">
        <v>1</v>
      </c>
      <c r="M788" s="57"/>
      <c r="N788" s="57"/>
      <c r="O788" s="57"/>
      <c r="P788" s="3"/>
      <c r="Q788" s="3"/>
      <c r="R788" s="10" t="s">
        <v>965</v>
      </c>
      <c r="S788" s="10"/>
      <c r="T788" s="3"/>
      <c r="U788" s="3"/>
      <c r="V788" s="59" t="s">
        <v>1014</v>
      </c>
    </row>
    <row r="789" s="2" customFormat="1" ht="15.75" spans="2:22">
      <c r="B789" s="56">
        <v>383</v>
      </c>
      <c r="C789" s="2">
        <v>788</v>
      </c>
      <c r="D789" s="10" t="s">
        <v>1016</v>
      </c>
      <c r="E789" s="10">
        <v>50</v>
      </c>
      <c r="F789" s="10">
        <v>190</v>
      </c>
      <c r="G789" s="52">
        <v>73</v>
      </c>
      <c r="H789" s="24">
        <v>1</v>
      </c>
      <c r="I789" s="53"/>
      <c r="J789" s="57"/>
      <c r="K789" s="54" t="s">
        <v>34</v>
      </c>
      <c r="L789" s="10">
        <v>1</v>
      </c>
      <c r="M789" s="57"/>
      <c r="N789" s="57"/>
      <c r="O789" s="57"/>
      <c r="P789" s="3"/>
      <c r="Q789" s="3"/>
      <c r="R789" s="10" t="s">
        <v>965</v>
      </c>
      <c r="S789" s="10"/>
      <c r="T789" s="3"/>
      <c r="U789" s="3"/>
      <c r="V789" s="59" t="s">
        <v>1014</v>
      </c>
    </row>
    <row r="790" s="2" customFormat="1" ht="15.75" spans="2:22">
      <c r="B790" s="56">
        <v>384</v>
      </c>
      <c r="C790" s="2">
        <v>789</v>
      </c>
      <c r="D790" s="10" t="s">
        <v>1017</v>
      </c>
      <c r="E790" s="10">
        <v>49</v>
      </c>
      <c r="F790" s="10">
        <v>180</v>
      </c>
      <c r="G790" s="52">
        <v>75</v>
      </c>
      <c r="H790" s="24">
        <v>1</v>
      </c>
      <c r="I790" s="53"/>
      <c r="J790" s="57"/>
      <c r="K790" s="54" t="s">
        <v>34</v>
      </c>
      <c r="L790" s="10">
        <v>1</v>
      </c>
      <c r="M790" s="57"/>
      <c r="N790" s="57"/>
      <c r="O790" s="57"/>
      <c r="P790" s="3"/>
      <c r="Q790" s="3"/>
      <c r="R790" s="10" t="s">
        <v>965</v>
      </c>
      <c r="S790" s="10"/>
      <c r="T790" s="3"/>
      <c r="U790" s="3"/>
      <c r="V790" s="59" t="s">
        <v>1014</v>
      </c>
    </row>
    <row r="791" s="2" customFormat="1" ht="15.75" spans="2:22">
      <c r="B791" s="56">
        <v>385</v>
      </c>
      <c r="C791" s="2">
        <v>790</v>
      </c>
      <c r="D791" s="10" t="s">
        <v>1018</v>
      </c>
      <c r="E791" s="10">
        <v>48</v>
      </c>
      <c r="F791" s="10">
        <v>177</v>
      </c>
      <c r="G791" s="52">
        <v>67</v>
      </c>
      <c r="H791" s="24">
        <v>1</v>
      </c>
      <c r="I791" s="53"/>
      <c r="J791" s="57"/>
      <c r="K791" s="54" t="s">
        <v>34</v>
      </c>
      <c r="L791" s="10">
        <v>1</v>
      </c>
      <c r="M791" s="57"/>
      <c r="N791" s="57"/>
      <c r="O791" s="57"/>
      <c r="P791" s="3"/>
      <c r="Q791" s="3"/>
      <c r="R791" s="10" t="s">
        <v>965</v>
      </c>
      <c r="S791" s="10"/>
      <c r="T791" s="3"/>
      <c r="U791" s="3"/>
      <c r="V791" s="59" t="s">
        <v>1014</v>
      </c>
    </row>
    <row r="792" s="2" customFormat="1" ht="15.75" spans="2:22">
      <c r="B792" s="56">
        <v>386</v>
      </c>
      <c r="C792" s="2">
        <v>791</v>
      </c>
      <c r="D792" s="10" t="s">
        <v>921</v>
      </c>
      <c r="E792" s="10">
        <v>160</v>
      </c>
      <c r="F792" s="10">
        <v>245</v>
      </c>
      <c r="G792" s="52">
        <v>30</v>
      </c>
      <c r="H792" s="24">
        <v>0</v>
      </c>
      <c r="I792" s="53"/>
      <c r="J792" s="57"/>
      <c r="K792" s="10">
        <v>0</v>
      </c>
      <c r="L792" s="10">
        <v>0</v>
      </c>
      <c r="M792" s="57"/>
      <c r="N792" s="57"/>
      <c r="O792" s="57"/>
      <c r="P792" s="3"/>
      <c r="Q792" s="3"/>
      <c r="R792" s="54" t="s">
        <v>63</v>
      </c>
      <c r="S792" s="10" t="s">
        <v>1019</v>
      </c>
      <c r="T792" s="3"/>
      <c r="U792" s="3"/>
      <c r="V792" s="59" t="s">
        <v>1014</v>
      </c>
    </row>
    <row r="793" s="2" customFormat="1" ht="15.75" spans="2:22">
      <c r="B793" s="56">
        <v>387</v>
      </c>
      <c r="C793" s="2">
        <v>792</v>
      </c>
      <c r="D793" s="10" t="s">
        <v>1015</v>
      </c>
      <c r="E793" s="10">
        <v>165</v>
      </c>
      <c r="F793" s="10">
        <v>254</v>
      </c>
      <c r="G793" s="52">
        <v>28</v>
      </c>
      <c r="H793" s="24">
        <v>0</v>
      </c>
      <c r="I793" s="53"/>
      <c r="J793" s="57"/>
      <c r="K793" s="10">
        <v>0</v>
      </c>
      <c r="L793" s="10">
        <v>0</v>
      </c>
      <c r="M793" s="57"/>
      <c r="N793" s="57"/>
      <c r="O793" s="57"/>
      <c r="P793" s="3"/>
      <c r="Q793" s="3"/>
      <c r="R793" s="54" t="s">
        <v>63</v>
      </c>
      <c r="S793" s="10" t="s">
        <v>1019</v>
      </c>
      <c r="T793" s="3"/>
      <c r="U793" s="3"/>
      <c r="V793" s="59" t="s">
        <v>1014</v>
      </c>
    </row>
    <row r="794" s="2" customFormat="1" ht="15.75" spans="2:22">
      <c r="B794" s="56">
        <v>388</v>
      </c>
      <c r="C794" s="2">
        <v>793</v>
      </c>
      <c r="D794" s="10" t="s">
        <v>1016</v>
      </c>
      <c r="E794" s="10">
        <v>175</v>
      </c>
      <c r="F794" s="10">
        <v>261</v>
      </c>
      <c r="G794" s="52">
        <v>25</v>
      </c>
      <c r="H794" s="24">
        <v>0</v>
      </c>
      <c r="I794" s="53"/>
      <c r="J794" s="57"/>
      <c r="K794" s="10">
        <v>0</v>
      </c>
      <c r="L794" s="10">
        <v>0</v>
      </c>
      <c r="M794" s="57"/>
      <c r="N794" s="57"/>
      <c r="O794" s="57"/>
      <c r="P794" s="3"/>
      <c r="Q794" s="3"/>
      <c r="R794" s="54" t="s">
        <v>63</v>
      </c>
      <c r="S794" s="10" t="s">
        <v>1019</v>
      </c>
      <c r="T794" s="3"/>
      <c r="U794" s="3"/>
      <c r="V794" s="59" t="s">
        <v>1014</v>
      </c>
    </row>
    <row r="795" s="2" customFormat="1" ht="15.75" spans="2:22">
      <c r="B795" s="56">
        <v>389</v>
      </c>
      <c r="C795" s="2">
        <v>794</v>
      </c>
      <c r="D795" s="10" t="s">
        <v>1017</v>
      </c>
      <c r="E795" s="10">
        <v>185</v>
      </c>
      <c r="F795" s="10">
        <v>278</v>
      </c>
      <c r="G795" s="52">
        <v>22</v>
      </c>
      <c r="H795" s="24">
        <v>0</v>
      </c>
      <c r="I795" s="53"/>
      <c r="J795" s="57"/>
      <c r="K795" s="10">
        <v>0</v>
      </c>
      <c r="L795" s="10">
        <v>0</v>
      </c>
      <c r="M795" s="57"/>
      <c r="N795" s="57"/>
      <c r="O795" s="57"/>
      <c r="P795" s="3"/>
      <c r="Q795" s="3"/>
      <c r="R795" s="54" t="s">
        <v>63</v>
      </c>
      <c r="S795" s="10" t="s">
        <v>1019</v>
      </c>
      <c r="T795" s="3"/>
      <c r="U795" s="3"/>
      <c r="V795" s="59" t="s">
        <v>1014</v>
      </c>
    </row>
    <row r="796" s="2" customFormat="1" ht="15.75" spans="2:22">
      <c r="B796" s="56">
        <v>390</v>
      </c>
      <c r="C796" s="2">
        <v>795</v>
      </c>
      <c r="D796" s="10" t="s">
        <v>1018</v>
      </c>
      <c r="E796" s="10">
        <v>190</v>
      </c>
      <c r="F796" s="10">
        <v>285</v>
      </c>
      <c r="G796" s="52">
        <v>15</v>
      </c>
      <c r="H796" s="24">
        <v>0</v>
      </c>
      <c r="I796" s="53"/>
      <c r="J796" s="57"/>
      <c r="K796" s="10">
        <v>0</v>
      </c>
      <c r="L796" s="10">
        <v>0</v>
      </c>
      <c r="M796" s="57"/>
      <c r="N796" s="57"/>
      <c r="O796" s="57"/>
      <c r="P796" s="3"/>
      <c r="Q796" s="3"/>
      <c r="R796" s="54" t="s">
        <v>63</v>
      </c>
      <c r="S796" s="10" t="s">
        <v>1019</v>
      </c>
      <c r="T796" s="3"/>
      <c r="U796" s="3"/>
      <c r="V796" s="59" t="s">
        <v>1014</v>
      </c>
    </row>
    <row r="797" s="2" customFormat="1" ht="15.75" spans="2:22">
      <c r="B797" s="56">
        <v>391</v>
      </c>
      <c r="C797" s="2">
        <v>796</v>
      </c>
      <c r="D797" s="10" t="s">
        <v>921</v>
      </c>
      <c r="E797" s="10">
        <v>170</v>
      </c>
      <c r="F797" s="10">
        <v>250</v>
      </c>
      <c r="G797" s="52">
        <v>15</v>
      </c>
      <c r="H797" s="24">
        <v>0</v>
      </c>
      <c r="I797" s="53"/>
      <c r="J797" s="57"/>
      <c r="K797" s="10">
        <v>0</v>
      </c>
      <c r="L797" s="10">
        <v>0</v>
      </c>
      <c r="M797" s="57"/>
      <c r="N797" s="57"/>
      <c r="O797" s="57"/>
      <c r="P797" s="3"/>
      <c r="Q797" s="3"/>
      <c r="R797" s="54" t="s">
        <v>67</v>
      </c>
      <c r="S797" s="10" t="s">
        <v>1020</v>
      </c>
      <c r="T797" s="3"/>
      <c r="U797" s="3"/>
      <c r="V797" s="59" t="s">
        <v>1014</v>
      </c>
    </row>
    <row r="798" s="2" customFormat="1" ht="15.75" spans="2:22">
      <c r="B798" s="56">
        <v>392</v>
      </c>
      <c r="C798" s="2">
        <v>797</v>
      </c>
      <c r="D798" s="10" t="s">
        <v>1015</v>
      </c>
      <c r="E798" s="10">
        <v>195</v>
      </c>
      <c r="F798" s="10">
        <v>260</v>
      </c>
      <c r="G798" s="52">
        <v>15</v>
      </c>
      <c r="H798" s="24">
        <v>0</v>
      </c>
      <c r="I798" s="53"/>
      <c r="J798" s="57"/>
      <c r="K798" s="10">
        <v>0</v>
      </c>
      <c r="L798" s="10">
        <v>0</v>
      </c>
      <c r="M798" s="57"/>
      <c r="N798" s="57"/>
      <c r="O798" s="57"/>
      <c r="P798" s="3"/>
      <c r="Q798" s="3"/>
      <c r="R798" s="54" t="s">
        <v>67</v>
      </c>
      <c r="S798" s="10" t="s">
        <v>1020</v>
      </c>
      <c r="T798" s="3"/>
      <c r="U798" s="3"/>
      <c r="V798" s="59" t="s">
        <v>1014</v>
      </c>
    </row>
    <row r="799" s="2" customFormat="1" ht="15.75" spans="2:22">
      <c r="B799" s="56">
        <v>393</v>
      </c>
      <c r="C799" s="2">
        <v>798</v>
      </c>
      <c r="D799" s="10" t="s">
        <v>1016</v>
      </c>
      <c r="E799" s="10">
        <v>200</v>
      </c>
      <c r="F799" s="10">
        <v>265</v>
      </c>
      <c r="G799" s="52">
        <v>15</v>
      </c>
      <c r="H799" s="24">
        <v>0</v>
      </c>
      <c r="I799" s="53"/>
      <c r="J799" s="57"/>
      <c r="K799" s="10">
        <v>0</v>
      </c>
      <c r="L799" s="10">
        <v>0</v>
      </c>
      <c r="M799" s="57"/>
      <c r="N799" s="57"/>
      <c r="O799" s="57"/>
      <c r="P799" s="3"/>
      <c r="Q799" s="3"/>
      <c r="R799" s="54" t="s">
        <v>67</v>
      </c>
      <c r="S799" s="10" t="s">
        <v>1020</v>
      </c>
      <c r="T799" s="3"/>
      <c r="U799" s="3"/>
      <c r="V799" s="59" t="s">
        <v>1014</v>
      </c>
    </row>
    <row r="800" s="2" customFormat="1" ht="15.75" spans="2:22">
      <c r="B800" s="56">
        <v>394</v>
      </c>
      <c r="C800" s="2">
        <v>799</v>
      </c>
      <c r="D800" s="10" t="s">
        <v>1017</v>
      </c>
      <c r="E800" s="10">
        <v>220</v>
      </c>
      <c r="F800" s="10">
        <v>285</v>
      </c>
      <c r="G800" s="52">
        <v>15</v>
      </c>
      <c r="H800" s="24">
        <v>0</v>
      </c>
      <c r="I800" s="53"/>
      <c r="J800" s="57"/>
      <c r="K800" s="10">
        <v>0</v>
      </c>
      <c r="L800" s="10">
        <v>0</v>
      </c>
      <c r="M800" s="57"/>
      <c r="N800" s="57"/>
      <c r="O800" s="57"/>
      <c r="P800" s="3"/>
      <c r="Q800" s="3"/>
      <c r="R800" s="54" t="s">
        <v>67</v>
      </c>
      <c r="S800" s="10" t="s">
        <v>1020</v>
      </c>
      <c r="T800" s="3"/>
      <c r="U800" s="3"/>
      <c r="V800" s="59" t="s">
        <v>1014</v>
      </c>
    </row>
    <row r="801" s="2" customFormat="1" ht="15.75" spans="2:22">
      <c r="B801" s="56">
        <v>395</v>
      </c>
      <c r="C801" s="2">
        <v>800</v>
      </c>
      <c r="D801" s="10" t="s">
        <v>1018</v>
      </c>
      <c r="E801" s="10">
        <v>198</v>
      </c>
      <c r="F801" s="10">
        <v>283</v>
      </c>
      <c r="G801" s="52">
        <v>15</v>
      </c>
      <c r="H801" s="24">
        <v>0</v>
      </c>
      <c r="I801" s="53"/>
      <c r="J801" s="57"/>
      <c r="K801" s="10">
        <v>0</v>
      </c>
      <c r="L801" s="10">
        <v>0</v>
      </c>
      <c r="M801" s="57"/>
      <c r="N801" s="57"/>
      <c r="O801" s="57"/>
      <c r="P801" s="3"/>
      <c r="Q801" s="3"/>
      <c r="R801" s="54" t="s">
        <v>67</v>
      </c>
      <c r="S801" s="10" t="s">
        <v>1020</v>
      </c>
      <c r="T801" s="3"/>
      <c r="U801" s="3"/>
      <c r="V801" s="59" t="s">
        <v>1014</v>
      </c>
    </row>
    <row r="802" s="2" customFormat="1" ht="71.25" spans="2:22">
      <c r="B802" s="56">
        <v>396</v>
      </c>
      <c r="C802" s="2">
        <v>801</v>
      </c>
      <c r="D802" s="10" t="s">
        <v>1021</v>
      </c>
      <c r="E802" s="10">
        <v>110</v>
      </c>
      <c r="F802" s="10">
        <v>200</v>
      </c>
      <c r="G802" s="52">
        <v>50</v>
      </c>
      <c r="H802" s="24">
        <v>1</v>
      </c>
      <c r="I802" s="53"/>
      <c r="J802" s="57"/>
      <c r="K802" s="10" t="s">
        <v>1022</v>
      </c>
      <c r="L802" s="10">
        <v>1</v>
      </c>
      <c r="M802" s="57"/>
      <c r="N802" s="57"/>
      <c r="O802" s="57"/>
      <c r="P802" s="3"/>
      <c r="Q802" s="3"/>
      <c r="R802" s="58" t="s">
        <v>56</v>
      </c>
      <c r="S802" s="10"/>
      <c r="T802" s="3"/>
      <c r="U802" s="3"/>
      <c r="V802" s="28" t="s">
        <v>1023</v>
      </c>
    </row>
    <row r="803" s="2" customFormat="1" ht="71.25" spans="2:22">
      <c r="B803" s="56">
        <v>397</v>
      </c>
      <c r="C803" s="2">
        <v>802</v>
      </c>
      <c r="D803" s="10" t="s">
        <v>1024</v>
      </c>
      <c r="E803" s="10">
        <v>125</v>
      </c>
      <c r="F803" s="10">
        <v>210</v>
      </c>
      <c r="G803" s="52">
        <v>30</v>
      </c>
      <c r="H803" s="24">
        <v>1</v>
      </c>
      <c r="I803" s="53"/>
      <c r="J803" s="57"/>
      <c r="K803" s="10" t="s">
        <v>1022</v>
      </c>
      <c r="L803" s="10">
        <v>1</v>
      </c>
      <c r="M803" s="57"/>
      <c r="N803" s="57"/>
      <c r="O803" s="57"/>
      <c r="P803" s="3"/>
      <c r="Q803" s="3"/>
      <c r="R803" s="10" t="s">
        <v>965</v>
      </c>
      <c r="S803" s="10"/>
      <c r="T803" s="3"/>
      <c r="U803" s="3"/>
      <c r="V803" s="28" t="s">
        <v>1023</v>
      </c>
    </row>
    <row r="804" s="2" customFormat="1" ht="71.25" spans="2:22">
      <c r="B804" s="56">
        <v>398</v>
      </c>
      <c r="C804" s="2">
        <v>803</v>
      </c>
      <c r="D804" s="10" t="s">
        <v>1025</v>
      </c>
      <c r="E804" s="10">
        <v>140</v>
      </c>
      <c r="F804" s="10">
        <v>220</v>
      </c>
      <c r="G804" s="52">
        <v>30</v>
      </c>
      <c r="H804" s="24">
        <v>1</v>
      </c>
      <c r="I804" s="53"/>
      <c r="J804" s="57"/>
      <c r="K804" s="10" t="s">
        <v>1022</v>
      </c>
      <c r="L804" s="10">
        <v>1</v>
      </c>
      <c r="M804" s="57"/>
      <c r="N804" s="57"/>
      <c r="O804" s="57"/>
      <c r="P804" s="3"/>
      <c r="Q804" s="3"/>
      <c r="R804" s="10" t="s">
        <v>965</v>
      </c>
      <c r="S804" s="10"/>
      <c r="T804" s="3"/>
      <c r="U804" s="3"/>
      <c r="V804" s="28" t="s">
        <v>1023</v>
      </c>
    </row>
    <row r="805" s="2" customFormat="1" ht="71.25" spans="2:22">
      <c r="B805" s="56">
        <v>399</v>
      </c>
      <c r="C805" s="2">
        <v>804</v>
      </c>
      <c r="D805" s="10" t="s">
        <v>1026</v>
      </c>
      <c r="E805" s="10">
        <v>170</v>
      </c>
      <c r="F805" s="10">
        <v>225</v>
      </c>
      <c r="G805" s="52">
        <v>20</v>
      </c>
      <c r="H805" s="24">
        <v>1</v>
      </c>
      <c r="I805" s="53"/>
      <c r="J805" s="57"/>
      <c r="K805" s="10" t="s">
        <v>1022</v>
      </c>
      <c r="L805" s="10">
        <v>1</v>
      </c>
      <c r="M805" s="57"/>
      <c r="N805" s="57"/>
      <c r="O805" s="57"/>
      <c r="P805" s="3"/>
      <c r="Q805" s="3"/>
      <c r="R805" s="10" t="s">
        <v>965</v>
      </c>
      <c r="S805" s="10"/>
      <c r="T805" s="3"/>
      <c r="U805" s="3"/>
      <c r="V805" s="28" t="s">
        <v>1023</v>
      </c>
    </row>
    <row r="806" s="2" customFormat="1" ht="71.25" spans="2:22">
      <c r="B806" s="56">
        <v>400</v>
      </c>
      <c r="C806" s="2">
        <v>805</v>
      </c>
      <c r="D806" s="10" t="s">
        <v>1021</v>
      </c>
      <c r="E806" s="10">
        <v>100</v>
      </c>
      <c r="F806" s="10">
        <v>225</v>
      </c>
      <c r="G806" s="52">
        <v>25</v>
      </c>
      <c r="H806" s="24">
        <v>1</v>
      </c>
      <c r="I806" s="53"/>
      <c r="J806" s="57"/>
      <c r="K806" s="10" t="s">
        <v>1022</v>
      </c>
      <c r="L806" s="10">
        <v>1</v>
      </c>
      <c r="M806" s="57"/>
      <c r="N806" s="57"/>
      <c r="O806" s="57"/>
      <c r="P806" s="3"/>
      <c r="Q806" s="3"/>
      <c r="R806" s="10" t="s">
        <v>1027</v>
      </c>
      <c r="S806" s="10" t="s">
        <v>1028</v>
      </c>
      <c r="T806" s="3"/>
      <c r="U806" s="3"/>
      <c r="V806" s="28" t="s">
        <v>1023</v>
      </c>
    </row>
    <row r="807" s="2" customFormat="1" ht="71.25" spans="2:22">
      <c r="B807" s="56">
        <v>401</v>
      </c>
      <c r="C807" s="2">
        <v>806</v>
      </c>
      <c r="D807" s="10" t="s">
        <v>1024</v>
      </c>
      <c r="E807" s="10">
        <v>125</v>
      </c>
      <c r="F807" s="10">
        <v>245</v>
      </c>
      <c r="G807" s="52">
        <v>25</v>
      </c>
      <c r="H807" s="24">
        <v>1</v>
      </c>
      <c r="I807" s="53"/>
      <c r="J807" s="57"/>
      <c r="K807" s="10" t="s">
        <v>1022</v>
      </c>
      <c r="L807" s="10">
        <v>1</v>
      </c>
      <c r="M807" s="57"/>
      <c r="N807" s="57"/>
      <c r="O807" s="57"/>
      <c r="P807" s="3"/>
      <c r="Q807" s="3"/>
      <c r="R807" s="10" t="s">
        <v>1027</v>
      </c>
      <c r="S807" s="10" t="s">
        <v>1029</v>
      </c>
      <c r="T807" s="3"/>
      <c r="U807" s="3"/>
      <c r="V807" s="28" t="s">
        <v>1023</v>
      </c>
    </row>
    <row r="808" s="2" customFormat="1" ht="71.25" spans="2:22">
      <c r="B808" s="56">
        <v>402</v>
      </c>
      <c r="C808" s="2">
        <v>807</v>
      </c>
      <c r="D808" s="10" t="s">
        <v>1025</v>
      </c>
      <c r="E808" s="10">
        <v>128</v>
      </c>
      <c r="F808" s="10">
        <v>240</v>
      </c>
      <c r="G808" s="52">
        <v>25</v>
      </c>
      <c r="H808" s="24">
        <v>1</v>
      </c>
      <c r="I808" s="53"/>
      <c r="J808" s="57"/>
      <c r="K808" s="10" t="s">
        <v>1022</v>
      </c>
      <c r="L808" s="10">
        <v>1</v>
      </c>
      <c r="M808" s="57"/>
      <c r="N808" s="57"/>
      <c r="O808" s="57"/>
      <c r="P808" s="3"/>
      <c r="Q808" s="3"/>
      <c r="R808" s="10" t="s">
        <v>1027</v>
      </c>
      <c r="S808" s="10" t="s">
        <v>1030</v>
      </c>
      <c r="T808" s="3"/>
      <c r="U808" s="3"/>
      <c r="V808" s="28" t="s">
        <v>1023</v>
      </c>
    </row>
    <row r="809" s="2" customFormat="1" ht="71.25" spans="2:22">
      <c r="B809" s="56">
        <v>403</v>
      </c>
      <c r="C809" s="2">
        <v>808</v>
      </c>
      <c r="D809" s="10" t="s">
        <v>1026</v>
      </c>
      <c r="E809" s="10">
        <v>130</v>
      </c>
      <c r="F809" s="10">
        <v>230</v>
      </c>
      <c r="G809" s="52">
        <v>25</v>
      </c>
      <c r="H809" s="24">
        <v>1</v>
      </c>
      <c r="I809" s="53"/>
      <c r="J809" s="57"/>
      <c r="K809" s="10" t="s">
        <v>1022</v>
      </c>
      <c r="L809" s="10">
        <v>1</v>
      </c>
      <c r="M809" s="57"/>
      <c r="N809" s="57"/>
      <c r="O809" s="57"/>
      <c r="P809" s="3"/>
      <c r="Q809" s="3"/>
      <c r="R809" s="10" t="s">
        <v>1027</v>
      </c>
      <c r="S809" s="10" t="s">
        <v>1031</v>
      </c>
      <c r="T809" s="3"/>
      <c r="U809" s="3"/>
      <c r="V809" s="28" t="s">
        <v>1023</v>
      </c>
    </row>
    <row r="810" s="2" customFormat="1" ht="71.25" spans="2:22">
      <c r="B810" s="56">
        <v>404</v>
      </c>
      <c r="C810" s="2">
        <v>809</v>
      </c>
      <c r="D810" s="10" t="s">
        <v>1021</v>
      </c>
      <c r="E810" s="10">
        <v>165</v>
      </c>
      <c r="F810" s="10">
        <v>265</v>
      </c>
      <c r="G810" s="52">
        <v>25</v>
      </c>
      <c r="H810" s="24">
        <v>1</v>
      </c>
      <c r="I810" s="53"/>
      <c r="J810" s="57"/>
      <c r="K810" s="10" t="s">
        <v>1022</v>
      </c>
      <c r="L810" s="10">
        <v>1</v>
      </c>
      <c r="M810" s="57"/>
      <c r="N810" s="57"/>
      <c r="O810" s="57"/>
      <c r="P810" s="3"/>
      <c r="Q810" s="3"/>
      <c r="R810" s="10" t="s">
        <v>962</v>
      </c>
      <c r="S810" s="10" t="s">
        <v>1032</v>
      </c>
      <c r="T810" s="3"/>
      <c r="U810" s="3"/>
      <c r="V810" s="28" t="s">
        <v>1023</v>
      </c>
    </row>
    <row r="811" s="2" customFormat="1" ht="71.25" spans="2:22">
      <c r="B811" s="56">
        <v>405</v>
      </c>
      <c r="C811" s="2">
        <v>810</v>
      </c>
      <c r="D811" s="10" t="s">
        <v>1024</v>
      </c>
      <c r="E811" s="10">
        <v>180</v>
      </c>
      <c r="F811" s="10">
        <v>275</v>
      </c>
      <c r="G811" s="52">
        <v>25</v>
      </c>
      <c r="H811" s="24">
        <v>1</v>
      </c>
      <c r="I811" s="53"/>
      <c r="J811" s="57"/>
      <c r="K811" s="10" t="s">
        <v>1022</v>
      </c>
      <c r="L811" s="10">
        <v>1</v>
      </c>
      <c r="M811" s="57"/>
      <c r="N811" s="57"/>
      <c r="O811" s="57"/>
      <c r="P811" s="3"/>
      <c r="Q811" s="3"/>
      <c r="R811" s="10" t="s">
        <v>962</v>
      </c>
      <c r="S811" s="10" t="s">
        <v>1033</v>
      </c>
      <c r="T811" s="3"/>
      <c r="U811" s="3"/>
      <c r="V811" s="28" t="s">
        <v>1023</v>
      </c>
    </row>
    <row r="812" s="2" customFormat="1" ht="71.25" spans="2:22">
      <c r="B812" s="56">
        <v>406</v>
      </c>
      <c r="C812" s="2">
        <v>811</v>
      </c>
      <c r="D812" s="10" t="s">
        <v>1026</v>
      </c>
      <c r="E812" s="10">
        <v>209</v>
      </c>
      <c r="F812" s="10">
        <v>311</v>
      </c>
      <c r="G812" s="52">
        <v>25</v>
      </c>
      <c r="H812" s="24">
        <v>1</v>
      </c>
      <c r="I812" s="53"/>
      <c r="J812" s="57"/>
      <c r="K812" s="10" t="s">
        <v>1022</v>
      </c>
      <c r="L812" s="10">
        <v>1</v>
      </c>
      <c r="M812" s="57"/>
      <c r="N812" s="57"/>
      <c r="O812" s="57"/>
      <c r="P812" s="3"/>
      <c r="Q812" s="3"/>
      <c r="R812" s="10" t="s">
        <v>962</v>
      </c>
      <c r="S812" s="10" t="s">
        <v>1034</v>
      </c>
      <c r="T812" s="3"/>
      <c r="U812" s="3"/>
      <c r="V812" s="28" t="s">
        <v>1023</v>
      </c>
    </row>
    <row r="813" s="2" customFormat="1" ht="71.25" spans="2:22">
      <c r="B813" s="56">
        <v>407</v>
      </c>
      <c r="C813" s="2">
        <v>812</v>
      </c>
      <c r="D813" s="10" t="s">
        <v>1026</v>
      </c>
      <c r="E813" s="10">
        <v>156</v>
      </c>
      <c r="F813" s="10">
        <v>225</v>
      </c>
      <c r="G813" s="52">
        <v>20</v>
      </c>
      <c r="H813" s="24">
        <v>1</v>
      </c>
      <c r="I813" s="53"/>
      <c r="J813" s="57"/>
      <c r="K813" s="10" t="s">
        <v>1022</v>
      </c>
      <c r="L813" s="10">
        <v>1</v>
      </c>
      <c r="M813" s="57"/>
      <c r="N813" s="57"/>
      <c r="O813" s="57"/>
      <c r="P813" s="3"/>
      <c r="Q813" s="3"/>
      <c r="R813" s="10" t="s">
        <v>965</v>
      </c>
      <c r="S813" s="10"/>
      <c r="T813" s="3"/>
      <c r="U813" s="3"/>
      <c r="V813" s="28" t="s">
        <v>1023</v>
      </c>
    </row>
    <row r="814" s="2" customFormat="1" ht="71.25" spans="2:22">
      <c r="B814" s="56">
        <v>408</v>
      </c>
      <c r="C814" s="2">
        <v>813</v>
      </c>
      <c r="D814" s="10" t="s">
        <v>1035</v>
      </c>
      <c r="E814" s="10">
        <v>160</v>
      </c>
      <c r="F814" s="10">
        <v>234</v>
      </c>
      <c r="G814" s="52">
        <v>20</v>
      </c>
      <c r="H814" s="24">
        <v>1</v>
      </c>
      <c r="I814" s="53"/>
      <c r="J814" s="57"/>
      <c r="K814" s="10" t="s">
        <v>1022</v>
      </c>
      <c r="L814" s="10">
        <v>1</v>
      </c>
      <c r="M814" s="57"/>
      <c r="N814" s="57"/>
      <c r="O814" s="57"/>
      <c r="P814" s="3"/>
      <c r="Q814" s="3"/>
      <c r="R814" s="10" t="s">
        <v>965</v>
      </c>
      <c r="S814" s="10"/>
      <c r="T814" s="3"/>
      <c r="U814" s="3"/>
      <c r="V814" s="28" t="s">
        <v>1023</v>
      </c>
    </row>
    <row r="815" s="2" customFormat="1" ht="71.25" spans="2:22">
      <c r="B815" s="56">
        <v>409</v>
      </c>
      <c r="C815" s="2">
        <v>814</v>
      </c>
      <c r="D815" s="10" t="s">
        <v>1036</v>
      </c>
      <c r="E815" s="10">
        <v>161</v>
      </c>
      <c r="F815" s="10">
        <v>228</v>
      </c>
      <c r="G815" s="52">
        <v>20</v>
      </c>
      <c r="H815" s="24">
        <v>1</v>
      </c>
      <c r="I815" s="53"/>
      <c r="J815" s="57"/>
      <c r="K815" s="54" t="s">
        <v>34</v>
      </c>
      <c r="L815" s="10">
        <v>1</v>
      </c>
      <c r="M815" s="57"/>
      <c r="N815" s="57"/>
      <c r="O815" s="57"/>
      <c r="P815" s="3"/>
      <c r="Q815" s="3"/>
      <c r="R815" s="10" t="s">
        <v>965</v>
      </c>
      <c r="S815" s="10"/>
      <c r="T815" s="3"/>
      <c r="U815" s="3"/>
      <c r="V815" s="28" t="s">
        <v>1023</v>
      </c>
    </row>
    <row r="816" s="2" customFormat="1" ht="71.25" spans="2:22">
      <c r="B816" s="56">
        <v>410</v>
      </c>
      <c r="C816" s="2">
        <v>815</v>
      </c>
      <c r="D816" s="10" t="s">
        <v>1037</v>
      </c>
      <c r="E816" s="10">
        <v>163</v>
      </c>
      <c r="F816" s="10">
        <v>225</v>
      </c>
      <c r="G816" s="52">
        <v>20</v>
      </c>
      <c r="H816" s="24">
        <v>1</v>
      </c>
      <c r="I816" s="53"/>
      <c r="J816" s="57"/>
      <c r="K816" s="54" t="s">
        <v>34</v>
      </c>
      <c r="L816" s="10">
        <v>1</v>
      </c>
      <c r="M816" s="57"/>
      <c r="N816" s="57"/>
      <c r="O816" s="57"/>
      <c r="P816" s="3"/>
      <c r="Q816" s="3"/>
      <c r="R816" s="10" t="s">
        <v>965</v>
      </c>
      <c r="S816" s="10"/>
      <c r="T816" s="3"/>
      <c r="U816" s="3"/>
      <c r="V816" s="28" t="s">
        <v>1023</v>
      </c>
    </row>
    <row r="817" s="2" customFormat="1" ht="71.25" spans="2:22">
      <c r="B817" s="56">
        <v>411</v>
      </c>
      <c r="C817" s="2">
        <v>816</v>
      </c>
      <c r="D817" s="10" t="s">
        <v>839</v>
      </c>
      <c r="E817" s="10">
        <v>22.1</v>
      </c>
      <c r="F817" s="10">
        <v>74.7</v>
      </c>
      <c r="G817" s="52">
        <v>20</v>
      </c>
      <c r="H817" s="24">
        <v>0</v>
      </c>
      <c r="I817" s="53"/>
      <c r="J817" s="57"/>
      <c r="K817" s="10">
        <v>0</v>
      </c>
      <c r="L817" s="10">
        <v>0</v>
      </c>
      <c r="M817" s="57"/>
      <c r="N817" s="57"/>
      <c r="O817" s="57"/>
      <c r="P817" s="3"/>
      <c r="Q817" s="3"/>
      <c r="R817" s="54" t="s">
        <v>56</v>
      </c>
      <c r="S817" s="10"/>
      <c r="T817" s="3"/>
      <c r="U817" s="3"/>
      <c r="V817" s="28" t="s">
        <v>1038</v>
      </c>
    </row>
    <row r="818" s="2" customFormat="1" ht="71.25" spans="2:22">
      <c r="B818" s="56">
        <v>412</v>
      </c>
      <c r="C818" s="2">
        <v>817</v>
      </c>
      <c r="D818" s="10" t="s">
        <v>1039</v>
      </c>
      <c r="E818" s="10">
        <v>53.5</v>
      </c>
      <c r="F818" s="10">
        <v>121.5</v>
      </c>
      <c r="G818" s="52">
        <v>331</v>
      </c>
      <c r="H818" s="24">
        <v>1</v>
      </c>
      <c r="I818" s="53"/>
      <c r="J818" s="57"/>
      <c r="K818" s="80" t="s">
        <v>34</v>
      </c>
      <c r="L818" s="10">
        <v>1</v>
      </c>
      <c r="M818" s="57"/>
      <c r="N818" s="57"/>
      <c r="O818" s="57"/>
      <c r="P818" s="3"/>
      <c r="Q818" s="3"/>
      <c r="R818" s="10" t="s">
        <v>965</v>
      </c>
      <c r="S818" s="10"/>
      <c r="T818" s="3"/>
      <c r="U818" s="3"/>
      <c r="V818" s="28" t="s">
        <v>1038</v>
      </c>
    </row>
    <row r="819" s="2" customFormat="1" ht="71.25" spans="2:22">
      <c r="B819" s="56">
        <v>413</v>
      </c>
      <c r="C819" s="2">
        <v>818</v>
      </c>
      <c r="D819" s="10" t="s">
        <v>1040</v>
      </c>
      <c r="E819" s="10">
        <v>70</v>
      </c>
      <c r="F819" s="10">
        <v>130</v>
      </c>
      <c r="G819" s="52">
        <v>161</v>
      </c>
      <c r="H819" s="24">
        <v>1</v>
      </c>
      <c r="I819" s="53"/>
      <c r="J819" s="57"/>
      <c r="K819" s="80" t="s">
        <v>34</v>
      </c>
      <c r="L819" s="10">
        <v>1</v>
      </c>
      <c r="M819" s="57"/>
      <c r="N819" s="57"/>
      <c r="O819" s="57"/>
      <c r="P819" s="3"/>
      <c r="Q819" s="3"/>
      <c r="R819" s="10" t="s">
        <v>965</v>
      </c>
      <c r="S819" s="10"/>
      <c r="T819" s="3"/>
      <c r="U819" s="3"/>
      <c r="V819" s="28" t="s">
        <v>1038</v>
      </c>
    </row>
    <row r="820" s="2" customFormat="1" ht="71.25" spans="2:22">
      <c r="B820" s="56">
        <v>414</v>
      </c>
      <c r="C820" s="2">
        <v>819</v>
      </c>
      <c r="D820" s="10" t="s">
        <v>1041</v>
      </c>
      <c r="E820" s="10">
        <v>101</v>
      </c>
      <c r="F820" s="10">
        <v>143.3</v>
      </c>
      <c r="G820" s="52">
        <v>69</v>
      </c>
      <c r="H820" s="24">
        <v>1</v>
      </c>
      <c r="I820" s="53"/>
      <c r="J820" s="57"/>
      <c r="K820" s="80" t="s">
        <v>34</v>
      </c>
      <c r="L820" s="10">
        <v>1</v>
      </c>
      <c r="M820" s="57"/>
      <c r="N820" s="57"/>
      <c r="O820" s="57"/>
      <c r="P820" s="3"/>
      <c r="Q820" s="3"/>
      <c r="R820" s="10" t="s">
        <v>965</v>
      </c>
      <c r="S820" s="10"/>
      <c r="T820" s="3"/>
      <c r="U820" s="3"/>
      <c r="V820" s="28" t="s">
        <v>1038</v>
      </c>
    </row>
    <row r="821" s="2" customFormat="1" ht="71.25" spans="2:22">
      <c r="B821" s="56">
        <v>415</v>
      </c>
      <c r="C821" s="2">
        <v>820</v>
      </c>
      <c r="D821" s="10" t="s">
        <v>1042</v>
      </c>
      <c r="E821" s="10">
        <v>125</v>
      </c>
      <c r="F821" s="10">
        <v>152</v>
      </c>
      <c r="G821" s="52">
        <v>35</v>
      </c>
      <c r="H821" s="24">
        <v>1</v>
      </c>
      <c r="I821" s="53"/>
      <c r="J821" s="57"/>
      <c r="K821" s="80" t="s">
        <v>34</v>
      </c>
      <c r="L821" s="10">
        <v>1</v>
      </c>
      <c r="M821" s="57"/>
      <c r="N821" s="57"/>
      <c r="O821" s="57"/>
      <c r="P821" s="3"/>
      <c r="Q821" s="3"/>
      <c r="R821" s="10" t="s">
        <v>965</v>
      </c>
      <c r="S821" s="10"/>
      <c r="T821" s="3"/>
      <c r="U821" s="3"/>
      <c r="V821" s="28" t="s">
        <v>1038</v>
      </c>
    </row>
    <row r="822" s="2" customFormat="1" ht="71.25" spans="2:22">
      <c r="B822" s="56">
        <v>416</v>
      </c>
      <c r="C822" s="2">
        <v>821</v>
      </c>
      <c r="D822" s="10" t="s">
        <v>244</v>
      </c>
      <c r="E822" s="10">
        <v>240</v>
      </c>
      <c r="F822" s="10">
        <v>370</v>
      </c>
      <c r="G822" s="52">
        <v>156</v>
      </c>
      <c r="H822" s="24">
        <v>1</v>
      </c>
      <c r="I822" s="53"/>
      <c r="J822" s="57"/>
      <c r="K822" s="80" t="s">
        <v>34</v>
      </c>
      <c r="L822" s="10">
        <v>1</v>
      </c>
      <c r="M822" s="57"/>
      <c r="N822" s="57"/>
      <c r="O822" s="57"/>
      <c r="P822" s="3"/>
      <c r="Q822" s="3"/>
      <c r="R822" s="10" t="s">
        <v>962</v>
      </c>
      <c r="S822" s="10" t="s">
        <v>1043</v>
      </c>
      <c r="T822" s="3"/>
      <c r="U822" s="3"/>
      <c r="V822" s="28" t="s">
        <v>1044</v>
      </c>
    </row>
    <row r="823" s="2" customFormat="1" ht="71.25" spans="2:22">
      <c r="B823" s="56">
        <v>417</v>
      </c>
      <c r="C823" s="2">
        <v>822</v>
      </c>
      <c r="D823" s="10" t="s">
        <v>244</v>
      </c>
      <c r="E823" s="10">
        <v>320</v>
      </c>
      <c r="F823" s="10">
        <v>416</v>
      </c>
      <c r="G823" s="52">
        <v>18</v>
      </c>
      <c r="H823" s="24">
        <v>0</v>
      </c>
      <c r="I823" s="53"/>
      <c r="J823" s="57"/>
      <c r="K823" s="10">
        <v>0</v>
      </c>
      <c r="L823" s="10">
        <v>0</v>
      </c>
      <c r="M823" s="57"/>
      <c r="N823" s="57"/>
      <c r="O823" s="57"/>
      <c r="P823" s="3"/>
      <c r="Q823" s="3"/>
      <c r="R823" s="10" t="s">
        <v>962</v>
      </c>
      <c r="S823" s="10" t="s">
        <v>1045</v>
      </c>
      <c r="T823" s="3"/>
      <c r="U823" s="3"/>
      <c r="V823" s="28" t="s">
        <v>1044</v>
      </c>
    </row>
    <row r="824" s="2" customFormat="1" ht="71.25" spans="2:22">
      <c r="B824" s="56">
        <v>418</v>
      </c>
      <c r="C824" s="2">
        <v>823</v>
      </c>
      <c r="D824" s="10" t="s">
        <v>244</v>
      </c>
      <c r="E824" s="10">
        <v>318</v>
      </c>
      <c r="F824" s="10">
        <v>380</v>
      </c>
      <c r="G824" s="52">
        <v>21</v>
      </c>
      <c r="H824" s="24">
        <v>0</v>
      </c>
      <c r="I824" s="53"/>
      <c r="J824" s="57"/>
      <c r="K824" s="10">
        <v>0</v>
      </c>
      <c r="L824" s="10">
        <v>0</v>
      </c>
      <c r="M824" s="57"/>
      <c r="N824" s="57"/>
      <c r="O824" s="57"/>
      <c r="P824" s="3"/>
      <c r="Q824" s="3"/>
      <c r="R824" s="10" t="s">
        <v>962</v>
      </c>
      <c r="S824" s="10"/>
      <c r="T824" s="3"/>
      <c r="U824" s="3"/>
      <c r="V824" s="28" t="s">
        <v>1044</v>
      </c>
    </row>
    <row r="825" s="2" customFormat="1" ht="15.75" spans="2:22">
      <c r="B825" s="56">
        <v>419</v>
      </c>
      <c r="C825" s="2">
        <v>824</v>
      </c>
      <c r="D825" s="10" t="s">
        <v>1046</v>
      </c>
      <c r="E825" s="10">
        <v>175</v>
      </c>
      <c r="F825" s="10">
        <v>185</v>
      </c>
      <c r="G825" s="52">
        <v>25</v>
      </c>
      <c r="H825" s="24">
        <v>1</v>
      </c>
      <c r="I825" s="53"/>
      <c r="J825" s="57"/>
      <c r="K825" s="80" t="s">
        <v>34</v>
      </c>
      <c r="L825" s="10">
        <v>1</v>
      </c>
      <c r="M825" s="57"/>
      <c r="N825" s="57"/>
      <c r="O825" s="57"/>
      <c r="P825" s="3"/>
      <c r="Q825" s="3"/>
      <c r="R825" s="10" t="s">
        <v>965</v>
      </c>
      <c r="S825" s="10"/>
      <c r="T825" s="3"/>
      <c r="U825" s="3"/>
      <c r="V825" s="59" t="s">
        <v>1047</v>
      </c>
    </row>
    <row r="826" s="2" customFormat="1" ht="15.75" spans="2:22">
      <c r="B826" s="56">
        <v>420</v>
      </c>
      <c r="C826" s="2">
        <v>825</v>
      </c>
      <c r="D826" s="10" t="s">
        <v>1046</v>
      </c>
      <c r="E826" s="10">
        <v>155</v>
      </c>
      <c r="F826" s="10">
        <v>251.7</v>
      </c>
      <c r="G826" s="52">
        <v>25</v>
      </c>
      <c r="H826" s="24">
        <v>1</v>
      </c>
      <c r="I826" s="53"/>
      <c r="J826" s="57"/>
      <c r="K826" s="80" t="s">
        <v>34</v>
      </c>
      <c r="L826" s="10">
        <v>1</v>
      </c>
      <c r="M826" s="57"/>
      <c r="N826" s="57"/>
      <c r="O826" s="57"/>
      <c r="P826" s="3"/>
      <c r="Q826" s="3"/>
      <c r="R826" s="58" t="s">
        <v>45</v>
      </c>
      <c r="S826" s="10" t="s">
        <v>1048</v>
      </c>
      <c r="T826" s="3"/>
      <c r="U826" s="3"/>
      <c r="V826" s="59" t="s">
        <v>1047</v>
      </c>
    </row>
    <row r="827" s="2" customFormat="1" ht="15.75" spans="2:22">
      <c r="B827" s="56">
        <v>421</v>
      </c>
      <c r="C827" s="2">
        <v>826</v>
      </c>
      <c r="D827" s="10" t="s">
        <v>1049</v>
      </c>
      <c r="E827" s="10">
        <v>45</v>
      </c>
      <c r="F827" s="10">
        <v>175</v>
      </c>
      <c r="G827" s="52">
        <v>72</v>
      </c>
      <c r="H827" s="24">
        <v>1</v>
      </c>
      <c r="I827" s="53"/>
      <c r="J827" s="57"/>
      <c r="K827" s="80" t="s">
        <v>34</v>
      </c>
      <c r="L827" s="10">
        <v>1</v>
      </c>
      <c r="M827" s="57"/>
      <c r="N827" s="57"/>
      <c r="O827" s="57"/>
      <c r="P827" s="3"/>
      <c r="Q827" s="3"/>
      <c r="R827" s="10" t="s">
        <v>965</v>
      </c>
      <c r="S827" s="10"/>
      <c r="T827" s="3"/>
      <c r="U827" s="3"/>
      <c r="V827" s="59" t="s">
        <v>1050</v>
      </c>
    </row>
    <row r="828" s="2" customFormat="1" ht="15.75" spans="2:22">
      <c r="B828" s="56">
        <v>422</v>
      </c>
      <c r="C828" s="2">
        <v>827</v>
      </c>
      <c r="D828" s="10" t="s">
        <v>1051</v>
      </c>
      <c r="E828" s="10">
        <v>85</v>
      </c>
      <c r="F828" s="10">
        <v>205</v>
      </c>
      <c r="G828" s="52">
        <v>47</v>
      </c>
      <c r="H828" s="24">
        <v>1</v>
      </c>
      <c r="I828" s="53"/>
      <c r="J828" s="57"/>
      <c r="K828" s="80" t="s">
        <v>34</v>
      </c>
      <c r="L828" s="10">
        <v>1</v>
      </c>
      <c r="M828" s="57"/>
      <c r="N828" s="57"/>
      <c r="O828" s="57"/>
      <c r="P828" s="3"/>
      <c r="Q828" s="3"/>
      <c r="R828" s="10" t="s">
        <v>965</v>
      </c>
      <c r="S828" s="10"/>
      <c r="T828" s="3"/>
      <c r="U828" s="3"/>
      <c r="V828" s="59" t="s">
        <v>1050</v>
      </c>
    </row>
    <row r="829" s="2" customFormat="1" ht="15.75" spans="2:22">
      <c r="B829" s="56">
        <v>423</v>
      </c>
      <c r="C829" s="2">
        <v>828</v>
      </c>
      <c r="D829" s="10" t="s">
        <v>1052</v>
      </c>
      <c r="E829" s="10">
        <v>90</v>
      </c>
      <c r="F829" s="10">
        <v>200</v>
      </c>
      <c r="G829" s="52">
        <v>42</v>
      </c>
      <c r="H829" s="24">
        <v>1</v>
      </c>
      <c r="I829" s="53"/>
      <c r="J829" s="57"/>
      <c r="K829" s="80" t="s">
        <v>34</v>
      </c>
      <c r="L829" s="10">
        <v>1</v>
      </c>
      <c r="M829" s="57"/>
      <c r="N829" s="57"/>
      <c r="O829" s="57"/>
      <c r="P829" s="3"/>
      <c r="Q829" s="3"/>
      <c r="R829" s="10" t="s">
        <v>965</v>
      </c>
      <c r="S829" s="10"/>
      <c r="T829" s="3"/>
      <c r="U829" s="3"/>
      <c r="V829" s="59" t="s">
        <v>1050</v>
      </c>
    </row>
    <row r="830" s="2" customFormat="1" ht="15.75" spans="2:22">
      <c r="B830" s="56">
        <v>424</v>
      </c>
      <c r="C830" s="2">
        <v>829</v>
      </c>
      <c r="D830" s="10" t="s">
        <v>1053</v>
      </c>
      <c r="E830" s="10">
        <v>100</v>
      </c>
      <c r="F830" s="10">
        <v>200</v>
      </c>
      <c r="G830" s="52">
        <v>34</v>
      </c>
      <c r="H830" s="24">
        <v>1</v>
      </c>
      <c r="I830" s="53"/>
      <c r="J830" s="57"/>
      <c r="K830" s="80" t="s">
        <v>34</v>
      </c>
      <c r="L830" s="10">
        <v>1</v>
      </c>
      <c r="M830" s="57"/>
      <c r="N830" s="57"/>
      <c r="O830" s="57"/>
      <c r="P830" s="3"/>
      <c r="Q830" s="3"/>
      <c r="R830" s="10" t="s">
        <v>965</v>
      </c>
      <c r="S830" s="10"/>
      <c r="T830" s="3"/>
      <c r="U830" s="3"/>
      <c r="V830" s="59" t="s">
        <v>1050</v>
      </c>
    </row>
    <row r="831" s="2" customFormat="1" ht="15.75" spans="2:22">
      <c r="B831" s="56">
        <v>425</v>
      </c>
      <c r="C831" s="2">
        <v>830</v>
      </c>
      <c r="D831" s="10" t="s">
        <v>1054</v>
      </c>
      <c r="E831" s="10">
        <v>125</v>
      </c>
      <c r="F831" s="10">
        <v>215</v>
      </c>
      <c r="G831" s="52">
        <v>62</v>
      </c>
      <c r="H831" s="24">
        <v>1</v>
      </c>
      <c r="I831" s="53"/>
      <c r="J831" s="57"/>
      <c r="K831" s="80" t="s">
        <v>34</v>
      </c>
      <c r="L831" s="10">
        <v>1</v>
      </c>
      <c r="M831" s="57"/>
      <c r="N831" s="57"/>
      <c r="O831" s="57"/>
      <c r="P831" s="3"/>
      <c r="Q831" s="3"/>
      <c r="R831" s="10" t="s">
        <v>965</v>
      </c>
      <c r="S831" s="10"/>
      <c r="T831" s="3"/>
      <c r="U831" s="3"/>
      <c r="V831" s="81" t="s">
        <v>1055</v>
      </c>
    </row>
    <row r="832" s="2" customFormat="1" ht="15.75" spans="2:22">
      <c r="B832" s="56">
        <v>426</v>
      </c>
      <c r="C832" s="2">
        <v>831</v>
      </c>
      <c r="D832" s="10" t="s">
        <v>1056</v>
      </c>
      <c r="E832" s="10">
        <v>130</v>
      </c>
      <c r="F832" s="10">
        <v>210</v>
      </c>
      <c r="G832" s="52">
        <v>50</v>
      </c>
      <c r="H832" s="24">
        <v>1</v>
      </c>
      <c r="I832" s="53"/>
      <c r="J832" s="57"/>
      <c r="K832" s="80" t="s">
        <v>34</v>
      </c>
      <c r="L832" s="10">
        <v>1</v>
      </c>
      <c r="M832" s="57"/>
      <c r="N832" s="57"/>
      <c r="O832" s="57"/>
      <c r="P832" s="3"/>
      <c r="Q832" s="3"/>
      <c r="R832" s="10" t="s">
        <v>965</v>
      </c>
      <c r="S832" s="10"/>
      <c r="T832" s="3"/>
      <c r="U832" s="3"/>
      <c r="V832" s="81" t="s">
        <v>1055</v>
      </c>
    </row>
    <row r="833" s="2" customFormat="1" ht="15.75" spans="2:22">
      <c r="B833" s="56">
        <v>427</v>
      </c>
      <c r="C833" s="2">
        <v>832</v>
      </c>
      <c r="D833" s="10" t="s">
        <v>1057</v>
      </c>
      <c r="E833" s="10">
        <v>190</v>
      </c>
      <c r="F833" s="10">
        <v>235</v>
      </c>
      <c r="G833" s="52">
        <v>44</v>
      </c>
      <c r="H833" s="24">
        <v>1</v>
      </c>
      <c r="I833" s="53"/>
      <c r="J833" s="57"/>
      <c r="K833" s="80" t="s">
        <v>34</v>
      </c>
      <c r="L833" s="10">
        <v>1</v>
      </c>
      <c r="M833" s="57"/>
      <c r="N833" s="57"/>
      <c r="O833" s="57"/>
      <c r="P833" s="3"/>
      <c r="Q833" s="3"/>
      <c r="R833" s="10" t="s">
        <v>965</v>
      </c>
      <c r="S833" s="10"/>
      <c r="T833" s="3"/>
      <c r="U833" s="3"/>
      <c r="V833" s="81" t="s">
        <v>1055</v>
      </c>
    </row>
    <row r="834" s="2" customFormat="1" ht="15.75" spans="2:22">
      <c r="B834" s="56">
        <v>428</v>
      </c>
      <c r="C834" s="2">
        <v>833</v>
      </c>
      <c r="D834" s="10" t="s">
        <v>1054</v>
      </c>
      <c r="E834" s="10">
        <v>115</v>
      </c>
      <c r="F834" s="10">
        <v>210</v>
      </c>
      <c r="G834" s="52">
        <v>65</v>
      </c>
      <c r="H834" s="24">
        <v>1</v>
      </c>
      <c r="I834" s="53"/>
      <c r="J834" s="57"/>
      <c r="K834" s="80" t="s">
        <v>34</v>
      </c>
      <c r="L834" s="10">
        <v>1</v>
      </c>
      <c r="M834" s="57"/>
      <c r="N834" s="57"/>
      <c r="O834" s="57"/>
      <c r="P834" s="3"/>
      <c r="Q834" s="3"/>
      <c r="R834" s="10" t="s">
        <v>1027</v>
      </c>
      <c r="S834" s="10" t="s">
        <v>1058</v>
      </c>
      <c r="T834" s="3"/>
      <c r="U834" s="3"/>
      <c r="V834" s="81" t="s">
        <v>1055</v>
      </c>
    </row>
    <row r="835" s="2" customFormat="1" ht="15.75" spans="2:22">
      <c r="B835" s="56">
        <v>429</v>
      </c>
      <c r="C835" s="2">
        <v>834</v>
      </c>
      <c r="D835" s="10" t="s">
        <v>1056</v>
      </c>
      <c r="E835" s="10">
        <v>125</v>
      </c>
      <c r="F835" s="10">
        <v>240</v>
      </c>
      <c r="G835" s="52">
        <v>61</v>
      </c>
      <c r="H835" s="24">
        <v>1</v>
      </c>
      <c r="I835" s="53"/>
      <c r="J835" s="57"/>
      <c r="K835" s="80" t="s">
        <v>34</v>
      </c>
      <c r="L835" s="10">
        <v>1</v>
      </c>
      <c r="M835" s="57"/>
      <c r="N835" s="57"/>
      <c r="O835" s="57"/>
      <c r="P835" s="3"/>
      <c r="Q835" s="3"/>
      <c r="R835" s="10" t="s">
        <v>1027</v>
      </c>
      <c r="S835" s="10" t="s">
        <v>1058</v>
      </c>
      <c r="T835" s="3"/>
      <c r="U835" s="3"/>
      <c r="V835" s="81" t="s">
        <v>1055</v>
      </c>
    </row>
    <row r="836" s="2" customFormat="1" ht="15.75" spans="2:22">
      <c r="B836" s="56">
        <v>430</v>
      </c>
      <c r="C836" s="2">
        <v>835</v>
      </c>
      <c r="D836" s="10" t="s">
        <v>1057</v>
      </c>
      <c r="E836" s="10">
        <v>175</v>
      </c>
      <c r="F836" s="10">
        <v>208</v>
      </c>
      <c r="G836" s="52">
        <v>45</v>
      </c>
      <c r="H836" s="24">
        <v>1</v>
      </c>
      <c r="I836" s="53"/>
      <c r="J836" s="57"/>
      <c r="K836" s="80" t="s">
        <v>34</v>
      </c>
      <c r="L836" s="10">
        <v>1</v>
      </c>
      <c r="M836" s="57"/>
      <c r="N836" s="57"/>
      <c r="O836" s="57"/>
      <c r="P836" s="3"/>
      <c r="Q836" s="3"/>
      <c r="R836" s="10" t="s">
        <v>1027</v>
      </c>
      <c r="S836" s="10" t="s">
        <v>1058</v>
      </c>
      <c r="T836" s="3"/>
      <c r="U836" s="3"/>
      <c r="V836" s="81" t="s">
        <v>1055</v>
      </c>
    </row>
    <row r="837" s="2" customFormat="1" ht="15.75" spans="2:22">
      <c r="B837" s="56">
        <v>431</v>
      </c>
      <c r="C837" s="2">
        <v>836</v>
      </c>
      <c r="D837" s="10" t="s">
        <v>1054</v>
      </c>
      <c r="E837" s="10">
        <v>190</v>
      </c>
      <c r="F837" s="10">
        <v>310</v>
      </c>
      <c r="G837" s="52">
        <v>45</v>
      </c>
      <c r="H837" s="24">
        <v>1</v>
      </c>
      <c r="I837" s="53"/>
      <c r="J837" s="57"/>
      <c r="K837" s="80" t="s">
        <v>34</v>
      </c>
      <c r="L837" s="10">
        <v>1</v>
      </c>
      <c r="M837" s="57"/>
      <c r="N837" s="57"/>
      <c r="O837" s="57"/>
      <c r="P837" s="3"/>
      <c r="Q837" s="3"/>
      <c r="R837" s="10" t="s">
        <v>962</v>
      </c>
      <c r="S837" s="10" t="s">
        <v>1059</v>
      </c>
      <c r="T837" s="3"/>
      <c r="U837" s="3"/>
      <c r="V837" s="59" t="s">
        <v>1055</v>
      </c>
    </row>
    <row r="838" s="2" customFormat="1" ht="15.75" spans="2:22">
      <c r="B838" s="56">
        <v>432</v>
      </c>
      <c r="C838" s="2">
        <v>837</v>
      </c>
      <c r="D838" s="10" t="s">
        <v>1056</v>
      </c>
      <c r="E838" s="10">
        <v>215</v>
      </c>
      <c r="F838" s="10">
        <v>350</v>
      </c>
      <c r="G838" s="52">
        <v>45</v>
      </c>
      <c r="H838" s="24">
        <v>1</v>
      </c>
      <c r="I838" s="53"/>
      <c r="J838" s="57"/>
      <c r="K838" s="80" t="s">
        <v>34</v>
      </c>
      <c r="L838" s="10">
        <v>1</v>
      </c>
      <c r="M838" s="57"/>
      <c r="N838" s="57"/>
      <c r="O838" s="57"/>
      <c r="P838" s="3"/>
      <c r="Q838" s="3"/>
      <c r="R838" s="10" t="s">
        <v>962</v>
      </c>
      <c r="S838" s="10" t="s">
        <v>1060</v>
      </c>
      <c r="T838" s="3"/>
      <c r="U838" s="3"/>
      <c r="V838" s="59" t="s">
        <v>1055</v>
      </c>
    </row>
    <row r="839" s="2" customFormat="1" ht="15.75" spans="2:22">
      <c r="B839" s="56">
        <v>433</v>
      </c>
      <c r="C839" s="2">
        <v>838</v>
      </c>
      <c r="D839" s="10" t="s">
        <v>1057</v>
      </c>
      <c r="E839" s="10">
        <v>238</v>
      </c>
      <c r="F839" s="10">
        <v>240</v>
      </c>
      <c r="G839" s="52">
        <v>45</v>
      </c>
      <c r="H839" s="24">
        <v>1</v>
      </c>
      <c r="I839" s="53"/>
      <c r="J839" s="57"/>
      <c r="K839" s="80" t="s">
        <v>34</v>
      </c>
      <c r="L839" s="10">
        <v>1</v>
      </c>
      <c r="M839" s="57"/>
      <c r="N839" s="57"/>
      <c r="O839" s="57"/>
      <c r="P839" s="3"/>
      <c r="Q839" s="3"/>
      <c r="R839" s="10" t="s">
        <v>962</v>
      </c>
      <c r="S839" s="10" t="s">
        <v>1060</v>
      </c>
      <c r="T839" s="3"/>
      <c r="U839" s="3"/>
      <c r="V839" s="59" t="s">
        <v>1055</v>
      </c>
    </row>
    <row r="840" s="2" customFormat="1" ht="15.75" spans="2:22">
      <c r="B840" s="56">
        <v>434</v>
      </c>
      <c r="C840" s="2">
        <v>839</v>
      </c>
      <c r="D840" s="10" t="s">
        <v>1056</v>
      </c>
      <c r="E840" s="10">
        <v>310</v>
      </c>
      <c r="F840" s="10">
        <v>400</v>
      </c>
      <c r="G840" s="52">
        <v>10</v>
      </c>
      <c r="H840" s="24">
        <v>0</v>
      </c>
      <c r="I840" s="53"/>
      <c r="J840" s="57"/>
      <c r="K840" s="10">
        <v>0</v>
      </c>
      <c r="L840" s="10">
        <v>0</v>
      </c>
      <c r="M840" s="57"/>
      <c r="N840" s="57"/>
      <c r="O840" s="57"/>
      <c r="P840" s="3"/>
      <c r="Q840" s="3"/>
      <c r="R840" s="10" t="s">
        <v>962</v>
      </c>
      <c r="S840" s="10" t="s">
        <v>1061</v>
      </c>
      <c r="T840" s="3"/>
      <c r="U840" s="3"/>
      <c r="V840" s="59" t="s">
        <v>1055</v>
      </c>
    </row>
    <row r="841" s="2" customFormat="1" ht="15.75" spans="2:22">
      <c r="B841" s="56">
        <v>435</v>
      </c>
      <c r="C841" s="2">
        <v>840</v>
      </c>
      <c r="D841" s="10" t="s">
        <v>1062</v>
      </c>
      <c r="E841" s="10">
        <v>195</v>
      </c>
      <c r="F841" s="10">
        <v>255</v>
      </c>
      <c r="G841" s="52">
        <v>10</v>
      </c>
      <c r="H841" s="24">
        <v>0</v>
      </c>
      <c r="I841" s="53"/>
      <c r="J841" s="57"/>
      <c r="K841" s="10">
        <v>0</v>
      </c>
      <c r="L841" s="10">
        <v>0</v>
      </c>
      <c r="M841" s="57"/>
      <c r="N841" s="57"/>
      <c r="O841" s="57"/>
      <c r="P841" s="3"/>
      <c r="Q841" s="3"/>
      <c r="R841" s="10" t="s">
        <v>962</v>
      </c>
      <c r="S841" s="10" t="s">
        <v>1063</v>
      </c>
      <c r="T841" s="3"/>
      <c r="U841" s="3"/>
      <c r="V841" s="59" t="s">
        <v>1055</v>
      </c>
    </row>
    <row r="842" s="2" customFormat="1" ht="15.75" spans="2:22">
      <c r="B842" s="56">
        <v>436</v>
      </c>
      <c r="C842" s="2">
        <v>841</v>
      </c>
      <c r="D842" s="10" t="s">
        <v>1064</v>
      </c>
      <c r="E842" s="10">
        <v>200</v>
      </c>
      <c r="F842" s="10">
        <v>30</v>
      </c>
      <c r="G842" s="52">
        <v>10</v>
      </c>
      <c r="H842" s="24">
        <v>0</v>
      </c>
      <c r="I842" s="53"/>
      <c r="J842" s="57"/>
      <c r="K842" s="10">
        <v>0</v>
      </c>
      <c r="L842" s="10">
        <v>0</v>
      </c>
      <c r="M842" s="57"/>
      <c r="N842" s="57"/>
      <c r="O842" s="57"/>
      <c r="P842" s="3"/>
      <c r="Q842" s="3"/>
      <c r="R842" s="10" t="s">
        <v>962</v>
      </c>
      <c r="S842" s="10" t="s">
        <v>1061</v>
      </c>
      <c r="T842" s="3"/>
      <c r="U842" s="3"/>
      <c r="V842" s="59" t="s">
        <v>1055</v>
      </c>
    </row>
    <row r="843" s="2" customFormat="1" ht="15.75" spans="2:22">
      <c r="B843" s="56">
        <v>437</v>
      </c>
      <c r="C843" s="2">
        <v>842</v>
      </c>
      <c r="D843" s="10" t="s">
        <v>1056</v>
      </c>
      <c r="E843" s="10">
        <v>185</v>
      </c>
      <c r="F843" s="10">
        <v>280</v>
      </c>
      <c r="G843" s="52">
        <v>8</v>
      </c>
      <c r="H843" s="24">
        <v>0</v>
      </c>
      <c r="I843" s="53"/>
      <c r="J843" s="57"/>
      <c r="K843" s="10">
        <v>0</v>
      </c>
      <c r="L843" s="10">
        <v>0</v>
      </c>
      <c r="M843" s="57"/>
      <c r="N843" s="57"/>
      <c r="O843" s="57"/>
      <c r="P843" s="3"/>
      <c r="Q843" s="3"/>
      <c r="R843" s="10" t="s">
        <v>962</v>
      </c>
      <c r="S843" s="10" t="s">
        <v>1065</v>
      </c>
      <c r="T843" s="3"/>
      <c r="U843" s="3"/>
      <c r="V843" s="59" t="s">
        <v>1055</v>
      </c>
    </row>
    <row r="844" s="2" customFormat="1" ht="15.75" spans="2:22">
      <c r="B844" s="56">
        <v>438</v>
      </c>
      <c r="C844" s="2">
        <v>843</v>
      </c>
      <c r="D844" s="10" t="s">
        <v>1056</v>
      </c>
      <c r="E844" s="10">
        <v>250</v>
      </c>
      <c r="F844" s="10">
        <v>385</v>
      </c>
      <c r="G844" s="52">
        <v>8</v>
      </c>
      <c r="H844" s="24">
        <v>0</v>
      </c>
      <c r="I844" s="53"/>
      <c r="J844" s="57"/>
      <c r="K844" s="10">
        <v>0</v>
      </c>
      <c r="L844" s="10">
        <v>0</v>
      </c>
      <c r="M844" s="57"/>
      <c r="N844" s="57"/>
      <c r="O844" s="57"/>
      <c r="P844" s="3"/>
      <c r="Q844" s="3"/>
      <c r="R844" s="10" t="s">
        <v>962</v>
      </c>
      <c r="S844" s="10" t="s">
        <v>1066</v>
      </c>
      <c r="T844" s="3"/>
      <c r="U844" s="3"/>
      <c r="V844" s="59" t="s">
        <v>1055</v>
      </c>
    </row>
    <row r="845" s="2" customFormat="1" ht="15.75" spans="2:22">
      <c r="B845" s="56">
        <v>439</v>
      </c>
      <c r="C845" s="2">
        <v>844</v>
      </c>
      <c r="D845" s="10" t="s">
        <v>1067</v>
      </c>
      <c r="E845" s="10">
        <v>158</v>
      </c>
      <c r="F845" s="10">
        <v>220</v>
      </c>
      <c r="G845" s="52">
        <v>5.54</v>
      </c>
      <c r="H845" s="24">
        <v>0</v>
      </c>
      <c r="I845" s="53"/>
      <c r="J845" s="57"/>
      <c r="K845" s="10">
        <v>0</v>
      </c>
      <c r="L845" s="10">
        <v>0</v>
      </c>
      <c r="M845" s="57"/>
      <c r="N845" s="57"/>
      <c r="O845" s="57"/>
      <c r="P845" s="3"/>
      <c r="Q845" s="3"/>
      <c r="R845" s="58" t="s">
        <v>17</v>
      </c>
      <c r="S845" s="10" t="s">
        <v>1068</v>
      </c>
      <c r="T845" s="3"/>
      <c r="U845" s="3"/>
      <c r="V845" s="59" t="s">
        <v>1069</v>
      </c>
    </row>
    <row r="846" s="2" customFormat="1" ht="15.75" spans="2:22">
      <c r="B846" s="56">
        <v>440</v>
      </c>
      <c r="C846" s="2">
        <v>845</v>
      </c>
      <c r="D846" s="10" t="s">
        <v>1070</v>
      </c>
      <c r="E846" s="10">
        <v>175</v>
      </c>
      <c r="F846" s="10">
        <v>240</v>
      </c>
      <c r="G846" s="52">
        <v>6.93</v>
      </c>
      <c r="H846" s="24">
        <v>0</v>
      </c>
      <c r="I846" s="53"/>
      <c r="J846" s="57"/>
      <c r="K846" s="10">
        <v>0</v>
      </c>
      <c r="L846" s="10">
        <v>0</v>
      </c>
      <c r="M846" s="57"/>
      <c r="N846" s="57"/>
      <c r="O846" s="57"/>
      <c r="P846" s="3"/>
      <c r="Q846" s="3"/>
      <c r="R846" s="58" t="s">
        <v>17</v>
      </c>
      <c r="S846" s="10" t="s">
        <v>1068</v>
      </c>
      <c r="T846" s="3"/>
      <c r="U846" s="3"/>
      <c r="V846" s="59" t="s">
        <v>1069</v>
      </c>
    </row>
    <row r="847" s="2" customFormat="1" ht="15.75" spans="2:22">
      <c r="B847" s="56">
        <v>441</v>
      </c>
      <c r="C847" s="2">
        <v>846</v>
      </c>
      <c r="D847" s="10" t="s">
        <v>1071</v>
      </c>
      <c r="E847" s="10">
        <v>190</v>
      </c>
      <c r="F847" s="10">
        <v>250</v>
      </c>
      <c r="G847" s="52">
        <v>6.95</v>
      </c>
      <c r="H847" s="24">
        <v>0</v>
      </c>
      <c r="I847" s="53"/>
      <c r="J847" s="57"/>
      <c r="K847" s="10">
        <v>0</v>
      </c>
      <c r="L847" s="10">
        <v>0</v>
      </c>
      <c r="M847" s="57"/>
      <c r="N847" s="57"/>
      <c r="O847" s="57"/>
      <c r="P847" s="3"/>
      <c r="Q847" s="3"/>
      <c r="R847" s="58" t="s">
        <v>17</v>
      </c>
      <c r="S847" s="10" t="s">
        <v>1068</v>
      </c>
      <c r="T847" s="3"/>
      <c r="U847" s="3"/>
      <c r="V847" s="59" t="s">
        <v>1069</v>
      </c>
    </row>
    <row r="848" s="2" customFormat="1" ht="71.25" spans="2:22">
      <c r="B848" s="56">
        <v>442</v>
      </c>
      <c r="C848" s="2">
        <v>847</v>
      </c>
      <c r="D848" s="10" t="s">
        <v>239</v>
      </c>
      <c r="E848" s="10">
        <v>420</v>
      </c>
      <c r="F848" s="10">
        <v>458</v>
      </c>
      <c r="G848" s="52">
        <v>0.8</v>
      </c>
      <c r="H848" s="24">
        <v>0</v>
      </c>
      <c r="I848" s="53"/>
      <c r="J848" s="57"/>
      <c r="K848" s="10">
        <v>0</v>
      </c>
      <c r="L848" s="10">
        <v>0</v>
      </c>
      <c r="M848" s="57"/>
      <c r="N848" s="57"/>
      <c r="O848" s="57"/>
      <c r="P848" s="3"/>
      <c r="Q848" s="3"/>
      <c r="R848" s="58" t="s">
        <v>17</v>
      </c>
      <c r="S848" s="10" t="s">
        <v>1072</v>
      </c>
      <c r="T848" s="3"/>
      <c r="U848" s="3"/>
      <c r="V848" s="28" t="s">
        <v>1073</v>
      </c>
    </row>
    <row r="849" s="2" customFormat="1" ht="71.25" spans="2:22">
      <c r="B849" s="56">
        <v>443</v>
      </c>
      <c r="C849" s="2">
        <v>848</v>
      </c>
      <c r="D849" s="10" t="s">
        <v>239</v>
      </c>
      <c r="E849" s="10">
        <v>268</v>
      </c>
      <c r="F849" s="10">
        <v>334</v>
      </c>
      <c r="G849" s="52">
        <v>4.13</v>
      </c>
      <c r="H849" s="24">
        <v>0</v>
      </c>
      <c r="I849" s="53"/>
      <c r="J849" s="57"/>
      <c r="K849" s="10">
        <v>0</v>
      </c>
      <c r="L849" s="10">
        <v>0</v>
      </c>
      <c r="M849" s="57"/>
      <c r="N849" s="57"/>
      <c r="O849" s="57"/>
      <c r="P849" s="3"/>
      <c r="Q849" s="3"/>
      <c r="R849" s="58" t="s">
        <v>17</v>
      </c>
      <c r="S849" s="10" t="s">
        <v>1074</v>
      </c>
      <c r="T849" s="3"/>
      <c r="U849" s="3"/>
      <c r="V849" s="28" t="s">
        <v>1073</v>
      </c>
    </row>
    <row r="850" s="2" customFormat="1" ht="71.25" spans="2:22">
      <c r="B850" s="56">
        <v>444</v>
      </c>
      <c r="C850" s="2">
        <v>849</v>
      </c>
      <c r="D850" s="10" t="s">
        <v>239</v>
      </c>
      <c r="E850" s="10">
        <v>233</v>
      </c>
      <c r="F850" s="10">
        <v>300</v>
      </c>
      <c r="G850" s="52">
        <v>10.07</v>
      </c>
      <c r="H850" s="24">
        <v>0</v>
      </c>
      <c r="I850" s="53"/>
      <c r="J850" s="57"/>
      <c r="K850" s="10">
        <v>0</v>
      </c>
      <c r="L850" s="10">
        <v>0</v>
      </c>
      <c r="M850" s="57"/>
      <c r="N850" s="57"/>
      <c r="O850" s="57"/>
      <c r="P850" s="3"/>
      <c r="Q850" s="3"/>
      <c r="R850" s="58" t="s">
        <v>17</v>
      </c>
      <c r="S850" s="10" t="s">
        <v>1075</v>
      </c>
      <c r="T850" s="3"/>
      <c r="U850" s="3"/>
      <c r="V850" s="28" t="s">
        <v>1073</v>
      </c>
    </row>
    <row r="851" s="2" customFormat="1" ht="71.25" spans="2:22">
      <c r="B851" s="56">
        <v>445</v>
      </c>
      <c r="C851" s="2">
        <v>850</v>
      </c>
      <c r="D851" s="10" t="s">
        <v>262</v>
      </c>
      <c r="E851" s="10">
        <v>119</v>
      </c>
      <c r="F851" s="10">
        <v>178</v>
      </c>
      <c r="G851" s="52">
        <v>20</v>
      </c>
      <c r="H851" s="24">
        <v>1</v>
      </c>
      <c r="I851" s="53"/>
      <c r="J851" s="57"/>
      <c r="K851" s="54" t="s">
        <v>34</v>
      </c>
      <c r="L851" s="10">
        <v>1</v>
      </c>
      <c r="M851" s="57"/>
      <c r="N851" s="57"/>
      <c r="O851" s="57"/>
      <c r="P851" s="3"/>
      <c r="Q851" s="3"/>
      <c r="R851" s="10" t="s">
        <v>965</v>
      </c>
      <c r="S851" s="10"/>
      <c r="T851" s="3"/>
      <c r="U851" s="3"/>
      <c r="V851" s="28" t="s">
        <v>1076</v>
      </c>
    </row>
    <row r="852" s="2" customFormat="1" ht="71.25" spans="2:22">
      <c r="B852" s="56">
        <v>446</v>
      </c>
      <c r="C852" s="2">
        <v>851</v>
      </c>
      <c r="D852" s="10" t="s">
        <v>262</v>
      </c>
      <c r="E852" s="10">
        <v>139</v>
      </c>
      <c r="F852" s="10">
        <v>234</v>
      </c>
      <c r="G852" s="52">
        <v>20</v>
      </c>
      <c r="H852" s="24">
        <v>1</v>
      </c>
      <c r="I852" s="53"/>
      <c r="J852" s="57"/>
      <c r="K852" s="54" t="s">
        <v>34</v>
      </c>
      <c r="L852" s="10">
        <v>1</v>
      </c>
      <c r="M852" s="57"/>
      <c r="N852" s="57"/>
      <c r="O852" s="57"/>
      <c r="P852" s="3"/>
      <c r="Q852" s="3"/>
      <c r="R852" s="10" t="s">
        <v>1077</v>
      </c>
      <c r="S852" s="10" t="s">
        <v>1078</v>
      </c>
      <c r="T852" s="3"/>
      <c r="U852" s="3"/>
      <c r="V852" s="28" t="s">
        <v>1076</v>
      </c>
    </row>
    <row r="853" s="2" customFormat="1" ht="71.25" spans="2:22">
      <c r="B853" s="56">
        <v>447</v>
      </c>
      <c r="C853" s="2">
        <v>852</v>
      </c>
      <c r="D853" s="10" t="s">
        <v>262</v>
      </c>
      <c r="E853" s="10">
        <v>128</v>
      </c>
      <c r="F853" s="10">
        <v>211</v>
      </c>
      <c r="G853" s="52">
        <v>20</v>
      </c>
      <c r="H853" s="24">
        <v>1</v>
      </c>
      <c r="I853" s="53"/>
      <c r="J853" s="57"/>
      <c r="K853" s="54" t="s">
        <v>34</v>
      </c>
      <c r="L853" s="10">
        <v>1</v>
      </c>
      <c r="M853" s="57"/>
      <c r="N853" s="57"/>
      <c r="O853" s="57"/>
      <c r="P853" s="3"/>
      <c r="Q853" s="3"/>
      <c r="R853" s="10" t="s">
        <v>962</v>
      </c>
      <c r="S853" s="10" t="s">
        <v>1079</v>
      </c>
      <c r="T853" s="3"/>
      <c r="U853" s="3"/>
      <c r="V853" s="28" t="s">
        <v>1076</v>
      </c>
    </row>
    <row r="854" s="2" customFormat="1" ht="71.25" spans="2:22">
      <c r="B854" s="56">
        <v>448</v>
      </c>
      <c r="C854" s="2">
        <v>853</v>
      </c>
      <c r="D854" s="10" t="s">
        <v>272</v>
      </c>
      <c r="E854" s="10">
        <v>113</v>
      </c>
      <c r="F854" s="10">
        <v>193</v>
      </c>
      <c r="G854" s="52">
        <v>20</v>
      </c>
      <c r="H854" s="24">
        <v>1</v>
      </c>
      <c r="I854" s="53"/>
      <c r="J854" s="57"/>
      <c r="K854" s="54" t="s">
        <v>34</v>
      </c>
      <c r="L854" s="10">
        <v>1</v>
      </c>
      <c r="M854" s="57"/>
      <c r="N854" s="57"/>
      <c r="O854" s="57"/>
      <c r="P854" s="3"/>
      <c r="Q854" s="3"/>
      <c r="R854" s="10" t="s">
        <v>965</v>
      </c>
      <c r="S854" s="10"/>
      <c r="T854" s="3"/>
      <c r="U854" s="3"/>
      <c r="V854" s="28" t="s">
        <v>1076</v>
      </c>
    </row>
    <row r="855" s="2" customFormat="1" ht="71.25" spans="2:22">
      <c r="B855" s="56">
        <v>449</v>
      </c>
      <c r="C855" s="2">
        <v>854</v>
      </c>
      <c r="D855" s="10" t="s">
        <v>272</v>
      </c>
      <c r="E855" s="10">
        <v>141</v>
      </c>
      <c r="F855" s="10">
        <v>252</v>
      </c>
      <c r="G855" s="52">
        <v>20</v>
      </c>
      <c r="H855" s="24">
        <v>1</v>
      </c>
      <c r="I855" s="53"/>
      <c r="J855" s="57"/>
      <c r="K855" s="54" t="s">
        <v>34</v>
      </c>
      <c r="L855" s="10">
        <v>1</v>
      </c>
      <c r="M855" s="57"/>
      <c r="N855" s="57"/>
      <c r="O855" s="57"/>
      <c r="P855" s="3"/>
      <c r="Q855" s="3"/>
      <c r="R855" s="10" t="s">
        <v>1077</v>
      </c>
      <c r="S855" s="10" t="s">
        <v>1078</v>
      </c>
      <c r="T855" s="3"/>
      <c r="U855" s="3"/>
      <c r="V855" s="28" t="s">
        <v>1076</v>
      </c>
    </row>
    <row r="856" s="2" customFormat="1" ht="71.25" spans="2:22">
      <c r="B856" s="56">
        <v>450</v>
      </c>
      <c r="C856" s="2">
        <v>855</v>
      </c>
      <c r="D856" s="10" t="s">
        <v>272</v>
      </c>
      <c r="E856" s="10">
        <v>124</v>
      </c>
      <c r="F856" s="10">
        <v>210</v>
      </c>
      <c r="G856" s="52">
        <v>20</v>
      </c>
      <c r="H856" s="24">
        <v>1</v>
      </c>
      <c r="I856" s="53"/>
      <c r="J856" s="57"/>
      <c r="K856" s="54" t="s">
        <v>34</v>
      </c>
      <c r="L856" s="10">
        <v>1</v>
      </c>
      <c r="M856" s="57"/>
      <c r="N856" s="57"/>
      <c r="O856" s="57"/>
      <c r="P856" s="3"/>
      <c r="Q856" s="3"/>
      <c r="R856" s="10" t="s">
        <v>962</v>
      </c>
      <c r="S856" s="10" t="s">
        <v>1079</v>
      </c>
      <c r="T856" s="3"/>
      <c r="U856" s="3"/>
      <c r="V856" s="28" t="s">
        <v>1076</v>
      </c>
    </row>
    <row r="857" s="2" customFormat="1" ht="71.25" spans="2:22">
      <c r="B857" s="56">
        <v>451</v>
      </c>
      <c r="C857" s="2">
        <v>856</v>
      </c>
      <c r="D857" s="10" t="s">
        <v>279</v>
      </c>
      <c r="E857" s="10">
        <v>110</v>
      </c>
      <c r="F857" s="10">
        <v>189</v>
      </c>
      <c r="G857" s="52">
        <v>20</v>
      </c>
      <c r="H857" s="24">
        <v>1</v>
      </c>
      <c r="I857" s="53"/>
      <c r="J857" s="57"/>
      <c r="K857" s="54" t="s">
        <v>34</v>
      </c>
      <c r="L857" s="10">
        <v>1</v>
      </c>
      <c r="M857" s="57"/>
      <c r="N857" s="57"/>
      <c r="O857" s="57"/>
      <c r="P857" s="3"/>
      <c r="Q857" s="3"/>
      <c r="R857" s="10" t="s">
        <v>965</v>
      </c>
      <c r="S857" s="10"/>
      <c r="T857" s="3"/>
      <c r="U857" s="3"/>
      <c r="V857" s="28" t="s">
        <v>1076</v>
      </c>
    </row>
    <row r="858" s="2" customFormat="1" ht="71.25" spans="2:22">
      <c r="B858" s="56">
        <v>452</v>
      </c>
      <c r="C858" s="2">
        <v>857</v>
      </c>
      <c r="D858" s="10" t="s">
        <v>279</v>
      </c>
      <c r="E858" s="10">
        <v>145</v>
      </c>
      <c r="F858" s="10">
        <v>265</v>
      </c>
      <c r="G858" s="52">
        <v>20</v>
      </c>
      <c r="H858" s="24">
        <v>1</v>
      </c>
      <c r="I858" s="53"/>
      <c r="J858" s="57"/>
      <c r="K858" s="54" t="s">
        <v>34</v>
      </c>
      <c r="L858" s="10">
        <v>1</v>
      </c>
      <c r="M858" s="57"/>
      <c r="N858" s="57"/>
      <c r="O858" s="57"/>
      <c r="P858" s="3"/>
      <c r="Q858" s="3"/>
      <c r="R858" s="10" t="s">
        <v>1077</v>
      </c>
      <c r="S858" s="10" t="s">
        <v>1078</v>
      </c>
      <c r="T858" s="3"/>
      <c r="U858" s="3"/>
      <c r="V858" s="28" t="s">
        <v>1076</v>
      </c>
    </row>
    <row r="859" s="2" customFormat="1" ht="71.25" spans="2:22">
      <c r="B859" s="56">
        <v>453</v>
      </c>
      <c r="C859" s="2">
        <v>858</v>
      </c>
      <c r="D859" s="10" t="s">
        <v>279</v>
      </c>
      <c r="E859" s="10">
        <v>117</v>
      </c>
      <c r="F859" s="10">
        <v>199</v>
      </c>
      <c r="G859" s="52">
        <v>20</v>
      </c>
      <c r="H859" s="24">
        <v>1</v>
      </c>
      <c r="I859" s="53"/>
      <c r="J859" s="57"/>
      <c r="K859" s="54" t="s">
        <v>34</v>
      </c>
      <c r="L859" s="10">
        <v>1</v>
      </c>
      <c r="M859" s="57"/>
      <c r="N859" s="57"/>
      <c r="O859" s="57"/>
      <c r="P859" s="3"/>
      <c r="Q859" s="3"/>
      <c r="R859" s="10" t="s">
        <v>962</v>
      </c>
      <c r="S859" s="10" t="s">
        <v>1079</v>
      </c>
      <c r="T859" s="3"/>
      <c r="U859" s="3"/>
      <c r="V859" s="28" t="s">
        <v>1076</v>
      </c>
    </row>
    <row r="860" s="2" customFormat="1" ht="71.25" spans="2:22">
      <c r="B860" s="56">
        <v>454</v>
      </c>
      <c r="C860" s="2">
        <v>859</v>
      </c>
      <c r="D860" s="10" t="s">
        <v>1080</v>
      </c>
      <c r="E860" s="10">
        <v>134</v>
      </c>
      <c r="F860" s="10">
        <v>288</v>
      </c>
      <c r="G860" s="52">
        <v>43.3</v>
      </c>
      <c r="H860" s="24">
        <v>0</v>
      </c>
      <c r="I860" s="53"/>
      <c r="J860" s="57"/>
      <c r="K860" s="10">
        <v>0</v>
      </c>
      <c r="L860" s="10">
        <v>0</v>
      </c>
      <c r="M860" s="57"/>
      <c r="N860" s="57"/>
      <c r="O860" s="57"/>
      <c r="P860" s="3"/>
      <c r="Q860" s="3"/>
      <c r="R860" s="58" t="s">
        <v>17</v>
      </c>
      <c r="S860" s="10" t="s">
        <v>1081</v>
      </c>
      <c r="T860" s="3"/>
      <c r="U860" s="3"/>
      <c r="V860" s="28" t="s">
        <v>1082</v>
      </c>
    </row>
    <row r="861" s="2" customFormat="1" ht="71.25" spans="2:22">
      <c r="B861" s="56">
        <v>455</v>
      </c>
      <c r="C861" s="2">
        <v>860</v>
      </c>
      <c r="D861" s="10" t="s">
        <v>1083</v>
      </c>
      <c r="E861" s="10">
        <v>137</v>
      </c>
      <c r="F861" s="10">
        <v>287</v>
      </c>
      <c r="G861" s="52">
        <v>42.5</v>
      </c>
      <c r="H861" s="24">
        <v>0</v>
      </c>
      <c r="I861" s="53"/>
      <c r="J861" s="57"/>
      <c r="K861" s="10">
        <v>0</v>
      </c>
      <c r="L861" s="10">
        <v>0</v>
      </c>
      <c r="M861" s="57"/>
      <c r="N861" s="57"/>
      <c r="O861" s="57"/>
      <c r="P861" s="3"/>
      <c r="Q861" s="3"/>
      <c r="R861" s="58" t="s">
        <v>17</v>
      </c>
      <c r="S861" s="10" t="s">
        <v>1081</v>
      </c>
      <c r="T861" s="3"/>
      <c r="U861" s="3"/>
      <c r="V861" s="28" t="s">
        <v>1082</v>
      </c>
    </row>
    <row r="862" s="2" customFormat="1" ht="71.25" spans="2:22">
      <c r="B862" s="56">
        <v>456</v>
      </c>
      <c r="C862" s="2">
        <v>861</v>
      </c>
      <c r="D862" s="10" t="s">
        <v>1084</v>
      </c>
      <c r="E862" s="10">
        <v>152</v>
      </c>
      <c r="F862" s="10">
        <v>294</v>
      </c>
      <c r="G862" s="52">
        <v>38.3</v>
      </c>
      <c r="H862" s="24">
        <v>0</v>
      </c>
      <c r="I862" s="53"/>
      <c r="J862" s="57"/>
      <c r="K862" s="10">
        <v>0</v>
      </c>
      <c r="L862" s="10">
        <v>0</v>
      </c>
      <c r="M862" s="57"/>
      <c r="N862" s="57"/>
      <c r="O862" s="57"/>
      <c r="P862" s="3"/>
      <c r="Q862" s="3"/>
      <c r="R862" s="58" t="s">
        <v>17</v>
      </c>
      <c r="S862" s="10" t="s">
        <v>1081</v>
      </c>
      <c r="T862" s="3"/>
      <c r="U862" s="3"/>
      <c r="V862" s="28" t="s">
        <v>1082</v>
      </c>
    </row>
    <row r="863" s="2" customFormat="1" ht="71.25" spans="2:22">
      <c r="B863" s="56">
        <v>457</v>
      </c>
      <c r="C863" s="2">
        <v>862</v>
      </c>
      <c r="D863" s="10" t="s">
        <v>1085</v>
      </c>
      <c r="E863" s="10">
        <v>155</v>
      </c>
      <c r="F863" s="10">
        <v>312</v>
      </c>
      <c r="G863" s="52">
        <v>33.4</v>
      </c>
      <c r="H863" s="24">
        <v>0</v>
      </c>
      <c r="I863" s="53"/>
      <c r="J863" s="57"/>
      <c r="K863" s="10">
        <v>0</v>
      </c>
      <c r="L863" s="10">
        <v>0</v>
      </c>
      <c r="M863" s="57"/>
      <c r="N863" s="57"/>
      <c r="O863" s="57"/>
      <c r="P863" s="3"/>
      <c r="Q863" s="3"/>
      <c r="R863" s="58" t="s">
        <v>17</v>
      </c>
      <c r="S863" s="10" t="s">
        <v>1081</v>
      </c>
      <c r="T863" s="3"/>
      <c r="U863" s="3"/>
      <c r="V863" s="28" t="s">
        <v>1082</v>
      </c>
    </row>
    <row r="864" s="2" customFormat="1" ht="71.25" spans="2:22">
      <c r="B864" s="56">
        <v>463</v>
      </c>
      <c r="C864" s="2">
        <v>863</v>
      </c>
      <c r="D864" s="10" t="s">
        <v>1080</v>
      </c>
      <c r="E864" s="10">
        <v>238</v>
      </c>
      <c r="F864" s="10">
        <v>329</v>
      </c>
      <c r="G864" s="52">
        <v>3.2</v>
      </c>
      <c r="H864" s="24">
        <v>0</v>
      </c>
      <c r="I864" s="53"/>
      <c r="J864" s="57"/>
      <c r="K864" s="10">
        <v>0</v>
      </c>
      <c r="L864" s="10">
        <v>0</v>
      </c>
      <c r="M864" s="57"/>
      <c r="N864" s="57"/>
      <c r="O864" s="57"/>
      <c r="P864" s="3"/>
      <c r="Q864" s="3"/>
      <c r="R864" s="58" t="s">
        <v>1086</v>
      </c>
      <c r="S864" s="10" t="s">
        <v>1087</v>
      </c>
      <c r="T864" s="3"/>
      <c r="U864" s="3"/>
      <c r="V864" s="28" t="s">
        <v>1082</v>
      </c>
    </row>
    <row r="865" s="2" customFormat="1" ht="71.25" spans="2:22">
      <c r="B865" s="56">
        <v>464</v>
      </c>
      <c r="C865" s="2">
        <v>864</v>
      </c>
      <c r="D865" s="10" t="s">
        <v>1083</v>
      </c>
      <c r="E865" s="10">
        <v>240</v>
      </c>
      <c r="F865" s="10">
        <v>327</v>
      </c>
      <c r="G865" s="52">
        <v>3.2</v>
      </c>
      <c r="H865" s="24">
        <v>0</v>
      </c>
      <c r="I865" s="53"/>
      <c r="J865" s="57"/>
      <c r="K865" s="10">
        <v>0</v>
      </c>
      <c r="L865" s="10">
        <v>0</v>
      </c>
      <c r="M865" s="57"/>
      <c r="N865" s="57"/>
      <c r="O865" s="57"/>
      <c r="P865" s="3"/>
      <c r="Q865" s="3"/>
      <c r="R865" s="58" t="s">
        <v>1086</v>
      </c>
      <c r="S865" s="10" t="s">
        <v>1087</v>
      </c>
      <c r="T865" s="3"/>
      <c r="U865" s="3"/>
      <c r="V865" s="28" t="s">
        <v>1082</v>
      </c>
    </row>
    <row r="866" s="2" customFormat="1" ht="71.25" spans="2:22">
      <c r="B866" s="56">
        <v>465</v>
      </c>
      <c r="C866" s="2">
        <v>865</v>
      </c>
      <c r="D866" s="10" t="s">
        <v>1084</v>
      </c>
      <c r="E866" s="10">
        <v>261</v>
      </c>
      <c r="F866" s="10">
        <v>337</v>
      </c>
      <c r="G866" s="52">
        <v>3.1</v>
      </c>
      <c r="H866" s="24">
        <v>0</v>
      </c>
      <c r="I866" s="53"/>
      <c r="J866" s="57"/>
      <c r="K866" s="10">
        <v>0</v>
      </c>
      <c r="L866" s="10">
        <v>0</v>
      </c>
      <c r="M866" s="57"/>
      <c r="N866" s="57"/>
      <c r="O866" s="57"/>
      <c r="P866" s="3"/>
      <c r="Q866" s="3"/>
      <c r="R866" s="58" t="s">
        <v>1086</v>
      </c>
      <c r="S866" s="10" t="s">
        <v>1087</v>
      </c>
      <c r="T866" s="3"/>
      <c r="U866" s="3"/>
      <c r="V866" s="28" t="s">
        <v>1082</v>
      </c>
    </row>
    <row r="867" s="2" customFormat="1" ht="71.25" spans="2:22">
      <c r="B867" s="56">
        <v>466</v>
      </c>
      <c r="C867" s="2">
        <v>866</v>
      </c>
      <c r="D867" s="10" t="s">
        <v>1085</v>
      </c>
      <c r="E867" s="10">
        <v>271</v>
      </c>
      <c r="F867" s="10">
        <v>338</v>
      </c>
      <c r="G867" s="52">
        <v>2.9</v>
      </c>
      <c r="H867" s="24">
        <v>0</v>
      </c>
      <c r="I867" s="53"/>
      <c r="J867" s="57"/>
      <c r="K867" s="10">
        <v>0</v>
      </c>
      <c r="L867" s="10">
        <v>0</v>
      </c>
      <c r="M867" s="57"/>
      <c r="N867" s="57"/>
      <c r="O867" s="57"/>
      <c r="P867" s="3"/>
      <c r="Q867" s="3"/>
      <c r="R867" s="58" t="s">
        <v>1086</v>
      </c>
      <c r="S867" s="10" t="s">
        <v>1087</v>
      </c>
      <c r="T867" s="3"/>
      <c r="U867" s="3"/>
      <c r="V867" s="28" t="s">
        <v>1082</v>
      </c>
    </row>
    <row r="868" s="2" customFormat="1" ht="71.25" spans="2:22">
      <c r="B868" s="56">
        <v>467</v>
      </c>
      <c r="C868" s="2">
        <v>867</v>
      </c>
      <c r="D868" s="10" t="s">
        <v>1088</v>
      </c>
      <c r="E868" s="10">
        <v>212</v>
      </c>
      <c r="F868" s="10">
        <v>312</v>
      </c>
      <c r="G868" s="52">
        <v>2.3</v>
      </c>
      <c r="H868" s="24">
        <v>0</v>
      </c>
      <c r="I868" s="53"/>
      <c r="J868" s="57"/>
      <c r="K868" s="10">
        <v>0</v>
      </c>
      <c r="L868" s="10">
        <v>0</v>
      </c>
      <c r="M868" s="57"/>
      <c r="N868" s="57"/>
      <c r="O868" s="57"/>
      <c r="P868" s="3"/>
      <c r="Q868" s="3"/>
      <c r="R868" s="58" t="s">
        <v>1086</v>
      </c>
      <c r="S868" s="10" t="s">
        <v>1087</v>
      </c>
      <c r="T868" s="3"/>
      <c r="U868" s="3"/>
      <c r="V868" s="28" t="s">
        <v>1082</v>
      </c>
    </row>
    <row r="869" s="2" customFormat="1" ht="71.25" spans="2:22">
      <c r="B869" s="56">
        <v>468</v>
      </c>
      <c r="C869" s="2">
        <v>868</v>
      </c>
      <c r="D869" s="10" t="s">
        <v>1089</v>
      </c>
      <c r="E869" s="10">
        <v>254</v>
      </c>
      <c r="F869" s="10">
        <v>334</v>
      </c>
      <c r="G869" s="52">
        <v>3.8</v>
      </c>
      <c r="H869" s="24">
        <v>0</v>
      </c>
      <c r="I869" s="53"/>
      <c r="J869" s="57"/>
      <c r="K869" s="10">
        <v>0</v>
      </c>
      <c r="L869" s="10">
        <v>0</v>
      </c>
      <c r="M869" s="57"/>
      <c r="N869" s="57"/>
      <c r="O869" s="57"/>
      <c r="P869" s="3"/>
      <c r="Q869" s="3"/>
      <c r="R869" s="58" t="s">
        <v>1086</v>
      </c>
      <c r="S869" s="10" t="s">
        <v>1090</v>
      </c>
      <c r="T869" s="3"/>
      <c r="U869" s="3"/>
      <c r="V869" s="28" t="s">
        <v>1082</v>
      </c>
    </row>
    <row r="870" s="2" customFormat="1" ht="15.75" spans="2:22">
      <c r="B870" s="56">
        <v>469</v>
      </c>
      <c r="C870" s="2">
        <v>869</v>
      </c>
      <c r="D870" s="10" t="s">
        <v>1091</v>
      </c>
      <c r="E870" s="10">
        <v>56</v>
      </c>
      <c r="F870" s="10">
        <v>154</v>
      </c>
      <c r="G870" s="52">
        <v>1523</v>
      </c>
      <c r="H870" s="24">
        <v>1</v>
      </c>
      <c r="I870" s="53"/>
      <c r="J870" s="57"/>
      <c r="K870" s="54" t="s">
        <v>25</v>
      </c>
      <c r="L870" s="10">
        <v>1</v>
      </c>
      <c r="M870" s="57"/>
      <c r="N870" s="57"/>
      <c r="O870" s="57"/>
      <c r="P870" s="3"/>
      <c r="Q870" s="3"/>
      <c r="R870" s="10" t="s">
        <v>965</v>
      </c>
      <c r="S870" s="10"/>
      <c r="T870" s="3"/>
      <c r="U870" s="3"/>
      <c r="V870" s="59" t="s">
        <v>1092</v>
      </c>
    </row>
    <row r="871" s="2" customFormat="1" ht="15.75" spans="2:22">
      <c r="B871" s="56">
        <v>470</v>
      </c>
      <c r="C871" s="2">
        <v>870</v>
      </c>
      <c r="D871" s="10" t="s">
        <v>1093</v>
      </c>
      <c r="E871" s="10">
        <v>73</v>
      </c>
      <c r="F871" s="10">
        <v>165</v>
      </c>
      <c r="G871" s="52">
        <v>314</v>
      </c>
      <c r="H871" s="24">
        <v>1</v>
      </c>
      <c r="I871" s="53"/>
      <c r="J871" s="57"/>
      <c r="K871" s="54" t="s">
        <v>25</v>
      </c>
      <c r="L871" s="10">
        <v>1</v>
      </c>
      <c r="M871" s="57"/>
      <c r="N871" s="57"/>
      <c r="O871" s="57"/>
      <c r="P871" s="3"/>
      <c r="Q871" s="3"/>
      <c r="R871" s="10" t="s">
        <v>965</v>
      </c>
      <c r="S871" s="10"/>
      <c r="T871" s="3"/>
      <c r="U871" s="3"/>
      <c r="V871" s="59" t="s">
        <v>1092</v>
      </c>
    </row>
    <row r="872" s="2" customFormat="1" ht="15.75" spans="2:22">
      <c r="B872" s="56">
        <v>471</v>
      </c>
      <c r="C872" s="2">
        <v>871</v>
      </c>
      <c r="D872" s="10" t="s">
        <v>1094</v>
      </c>
      <c r="E872" s="10">
        <v>108</v>
      </c>
      <c r="F872" s="10">
        <v>204</v>
      </c>
      <c r="G872" s="52">
        <v>68</v>
      </c>
      <c r="H872" s="24">
        <v>1</v>
      </c>
      <c r="I872" s="53"/>
      <c r="J872" s="57"/>
      <c r="K872" s="54" t="s">
        <v>25</v>
      </c>
      <c r="L872" s="10">
        <v>1</v>
      </c>
      <c r="M872" s="57"/>
      <c r="N872" s="57"/>
      <c r="O872" s="57"/>
      <c r="P872" s="3"/>
      <c r="Q872" s="3"/>
      <c r="R872" s="10" t="s">
        <v>965</v>
      </c>
      <c r="S872" s="10"/>
      <c r="T872" s="3"/>
      <c r="U872" s="3"/>
      <c r="V872" s="59" t="s">
        <v>1092</v>
      </c>
    </row>
    <row r="873" s="2" customFormat="1" ht="15.75" spans="2:22">
      <c r="B873" s="56">
        <v>472</v>
      </c>
      <c r="C873" s="2">
        <v>872</v>
      </c>
      <c r="D873" s="10" t="s">
        <v>1095</v>
      </c>
      <c r="E873" s="10">
        <v>132</v>
      </c>
      <c r="F873" s="10">
        <v>190</v>
      </c>
      <c r="G873" s="52">
        <v>63</v>
      </c>
      <c r="H873" s="24">
        <v>1</v>
      </c>
      <c r="I873" s="53"/>
      <c r="J873" s="57"/>
      <c r="K873" s="54" t="s">
        <v>25</v>
      </c>
      <c r="L873" s="10">
        <v>1</v>
      </c>
      <c r="M873" s="57"/>
      <c r="N873" s="57"/>
      <c r="O873" s="57"/>
      <c r="P873" s="3"/>
      <c r="Q873" s="3"/>
      <c r="R873" s="10" t="s">
        <v>965</v>
      </c>
      <c r="S873" s="10"/>
      <c r="T873" s="3"/>
      <c r="U873" s="3"/>
      <c r="V873" s="59" t="s">
        <v>1092</v>
      </c>
    </row>
    <row r="874" s="2" customFormat="1" ht="15.75" spans="2:22">
      <c r="B874" s="56">
        <v>473</v>
      </c>
      <c r="C874" s="2">
        <v>873</v>
      </c>
      <c r="D874" s="10" t="s">
        <v>1096</v>
      </c>
      <c r="E874" s="10">
        <v>61</v>
      </c>
      <c r="F874" s="10">
        <v>151</v>
      </c>
      <c r="G874" s="52">
        <v>925</v>
      </c>
      <c r="H874" s="24">
        <v>1</v>
      </c>
      <c r="I874" s="53"/>
      <c r="J874" s="57"/>
      <c r="K874" s="54" t="s">
        <v>25</v>
      </c>
      <c r="L874" s="10">
        <v>1</v>
      </c>
      <c r="M874" s="57"/>
      <c r="N874" s="57"/>
      <c r="O874" s="57"/>
      <c r="P874" s="3"/>
      <c r="Q874" s="3"/>
      <c r="R874" s="10" t="s">
        <v>965</v>
      </c>
      <c r="S874" s="10"/>
      <c r="T874" s="3"/>
      <c r="U874" s="3"/>
      <c r="V874" s="59" t="s">
        <v>1092</v>
      </c>
    </row>
    <row r="875" s="2" customFormat="1" ht="15.75" spans="2:22">
      <c r="B875" s="56">
        <v>474</v>
      </c>
      <c r="C875" s="2">
        <v>874</v>
      </c>
      <c r="D875" s="10" t="s">
        <v>1097</v>
      </c>
      <c r="E875" s="10">
        <v>78</v>
      </c>
      <c r="F875" s="10">
        <v>179</v>
      </c>
      <c r="G875" s="52">
        <v>286</v>
      </c>
      <c r="H875" s="24">
        <v>1</v>
      </c>
      <c r="I875" s="53"/>
      <c r="J875" s="57"/>
      <c r="K875" s="54" t="s">
        <v>25</v>
      </c>
      <c r="L875" s="10">
        <v>1</v>
      </c>
      <c r="M875" s="57"/>
      <c r="N875" s="57"/>
      <c r="O875" s="57"/>
      <c r="P875" s="3"/>
      <c r="Q875" s="3"/>
      <c r="R875" s="10" t="s">
        <v>965</v>
      </c>
      <c r="S875" s="10"/>
      <c r="T875" s="3"/>
      <c r="U875" s="3"/>
      <c r="V875" s="59" t="s">
        <v>1092</v>
      </c>
    </row>
    <row r="876" s="2" customFormat="1" ht="15.75" spans="2:22">
      <c r="B876" s="56">
        <v>475</v>
      </c>
      <c r="C876" s="2">
        <v>875</v>
      </c>
      <c r="D876" s="10" t="s">
        <v>1098</v>
      </c>
      <c r="E876" s="10">
        <v>116</v>
      </c>
      <c r="F876" s="10">
        <v>204</v>
      </c>
      <c r="G876" s="52">
        <v>60</v>
      </c>
      <c r="H876" s="24">
        <v>1</v>
      </c>
      <c r="I876" s="53"/>
      <c r="J876" s="57"/>
      <c r="K876" s="54" t="s">
        <v>25</v>
      </c>
      <c r="L876" s="10">
        <v>1</v>
      </c>
      <c r="M876" s="57"/>
      <c r="N876" s="57"/>
      <c r="O876" s="57"/>
      <c r="P876" s="3"/>
      <c r="Q876" s="3"/>
      <c r="R876" s="10" t="s">
        <v>965</v>
      </c>
      <c r="S876" s="10"/>
      <c r="T876" s="3"/>
      <c r="U876" s="3"/>
      <c r="V876" s="59" t="s">
        <v>1092</v>
      </c>
    </row>
    <row r="877" s="2" customFormat="1" ht="15.75" spans="2:22">
      <c r="B877" s="56">
        <v>476</v>
      </c>
      <c r="C877" s="2">
        <v>876</v>
      </c>
      <c r="D877" s="10" t="s">
        <v>1099</v>
      </c>
      <c r="E877" s="10">
        <v>140</v>
      </c>
      <c r="F877" s="10">
        <v>157</v>
      </c>
      <c r="G877" s="52">
        <v>58</v>
      </c>
      <c r="H877" s="24">
        <v>1</v>
      </c>
      <c r="I877" s="53"/>
      <c r="J877" s="57"/>
      <c r="K877" s="54" t="s">
        <v>25</v>
      </c>
      <c r="L877" s="10">
        <v>1</v>
      </c>
      <c r="M877" s="57"/>
      <c r="N877" s="57"/>
      <c r="O877" s="57"/>
      <c r="P877" s="3"/>
      <c r="Q877" s="3"/>
      <c r="R877" s="10" t="s">
        <v>965</v>
      </c>
      <c r="S877" s="10"/>
      <c r="T877" s="3"/>
      <c r="U877" s="3"/>
      <c r="V877" s="59" t="s">
        <v>1092</v>
      </c>
    </row>
    <row r="878" s="2" customFormat="1" ht="15.75" spans="2:22">
      <c r="B878" s="56">
        <v>477</v>
      </c>
      <c r="C878" s="2">
        <v>877</v>
      </c>
      <c r="D878" s="10" t="s">
        <v>1100</v>
      </c>
      <c r="E878" s="10">
        <v>68</v>
      </c>
      <c r="F878" s="10">
        <v>161</v>
      </c>
      <c r="G878" s="52">
        <v>753</v>
      </c>
      <c r="H878" s="24">
        <v>1</v>
      </c>
      <c r="I878" s="53"/>
      <c r="J878" s="57"/>
      <c r="K878" s="54" t="s">
        <v>25</v>
      </c>
      <c r="L878" s="10">
        <v>1</v>
      </c>
      <c r="M878" s="57"/>
      <c r="N878" s="57"/>
      <c r="O878" s="57"/>
      <c r="P878" s="3"/>
      <c r="Q878" s="3"/>
      <c r="R878" s="10" t="s">
        <v>965</v>
      </c>
      <c r="S878" s="10"/>
      <c r="T878" s="3"/>
      <c r="U878" s="3"/>
      <c r="V878" s="59" t="s">
        <v>1092</v>
      </c>
    </row>
    <row r="879" s="2" customFormat="1" ht="15.75" spans="2:22">
      <c r="B879" s="56">
        <v>478</v>
      </c>
      <c r="C879" s="2">
        <v>878</v>
      </c>
      <c r="D879" s="10" t="s">
        <v>1100</v>
      </c>
      <c r="E879" s="10">
        <v>85</v>
      </c>
      <c r="F879" s="10">
        <v>190</v>
      </c>
      <c r="G879" s="52">
        <v>357</v>
      </c>
      <c r="H879" s="24">
        <v>1</v>
      </c>
      <c r="I879" s="53"/>
      <c r="J879" s="57"/>
      <c r="K879" s="54" t="s">
        <v>25</v>
      </c>
      <c r="L879" s="10">
        <v>1</v>
      </c>
      <c r="M879" s="57"/>
      <c r="N879" s="57"/>
      <c r="O879" s="57"/>
      <c r="P879" s="3"/>
      <c r="Q879" s="3"/>
      <c r="R879" s="10" t="s">
        <v>965</v>
      </c>
      <c r="S879" s="10"/>
      <c r="T879" s="3"/>
      <c r="U879" s="3"/>
      <c r="V879" s="59" t="s">
        <v>1092</v>
      </c>
    </row>
    <row r="880" s="2" customFormat="1" ht="15.75" spans="2:22">
      <c r="B880" s="56">
        <v>479</v>
      </c>
      <c r="C880" s="2">
        <v>879</v>
      </c>
      <c r="D880" s="10" t="s">
        <v>1100</v>
      </c>
      <c r="E880" s="10">
        <v>121</v>
      </c>
      <c r="F880" s="10">
        <v>180</v>
      </c>
      <c r="G880" s="52">
        <v>60</v>
      </c>
      <c r="H880" s="24">
        <v>1</v>
      </c>
      <c r="I880" s="53"/>
      <c r="J880" s="57"/>
      <c r="K880" s="54" t="s">
        <v>25</v>
      </c>
      <c r="L880" s="10">
        <v>1</v>
      </c>
      <c r="M880" s="57"/>
      <c r="N880" s="57"/>
      <c r="O880" s="57"/>
      <c r="P880" s="3"/>
      <c r="Q880" s="3"/>
      <c r="R880" s="10" t="s">
        <v>965</v>
      </c>
      <c r="S880" s="10"/>
      <c r="T880" s="3"/>
      <c r="U880" s="3"/>
      <c r="V880" s="59" t="s">
        <v>1092</v>
      </c>
    </row>
    <row r="881" s="2" customFormat="1" ht="15.75" spans="2:22">
      <c r="B881" s="56">
        <v>480</v>
      </c>
      <c r="C881" s="2">
        <v>880</v>
      </c>
      <c r="D881" s="10" t="s">
        <v>1100</v>
      </c>
      <c r="E881" s="10">
        <v>156</v>
      </c>
      <c r="F881" s="10">
        <v>184</v>
      </c>
      <c r="G881" s="52">
        <v>56</v>
      </c>
      <c r="H881" s="24">
        <v>1</v>
      </c>
      <c r="I881" s="53"/>
      <c r="J881" s="57"/>
      <c r="K881" s="54" t="s">
        <v>25</v>
      </c>
      <c r="L881" s="10">
        <v>1</v>
      </c>
      <c r="M881" s="57"/>
      <c r="N881" s="57"/>
      <c r="O881" s="57"/>
      <c r="P881" s="3"/>
      <c r="Q881" s="3"/>
      <c r="R881" s="10" t="s">
        <v>965</v>
      </c>
      <c r="S881" s="10"/>
      <c r="T881" s="3"/>
      <c r="U881" s="3"/>
      <c r="V881" s="59" t="s">
        <v>1092</v>
      </c>
    </row>
  </sheetData>
  <autoFilter ref="L1:L881">
    <extLst/>
  </autoFilter>
  <mergeCells count="3">
    <mergeCell ref="P21:P23"/>
    <mergeCell ref="P27:P31"/>
    <mergeCell ref="P56:P59"/>
  </mergeCells>
  <hyperlinks>
    <hyperlink ref="V314" r:id="rId1" display="流变挤压铸造AZ91-Ca合金微观组织和力学行为研究 - 中国知网 (cnki.net)"/>
    <hyperlink ref="V315:V319" r:id="rId1" display="流变挤压铸造AZ92-Ca合金微观组织和力学行为研究 - 中国知网 (cnki.net)"/>
    <hyperlink ref="V320" r:id="rId2" display="AZ31-xNd镁合金熔炼、组织与性能的研究 - 中国知网 (cnki.net)"/>
    <hyperlink ref="V321:V331" r:id="rId2" display="AZ32-xNd镁合金熔炼、组织与性能的研究 - 中国知网 (cnki.net)"/>
    <hyperlink ref="V332" r:id="rId3" display="Mg-Al-Zn-Ni-Gd-Y可溶镁合金组织与性能的研究 - 中国知网 (cnki.net)"/>
    <hyperlink ref="V347" r:id="rId4" display="稀土改性AZ91镁合金组织及腐蚀性能 - 中国知网 (cnki.net)"/>
    <hyperlink ref="V356" r:id="rId5" display="La和Nd复合添加AZ91镁合金显微组织调控及强化机理 - 中国知网 (cnki.net)"/>
    <hyperlink ref="V357:V361" r:id="rId5" display="La和Nd复合添加AZ92镁合金显微组织调控及强化机理 - 中国知网 (cnki.net)"/>
    <hyperlink ref="V348:V355" r:id="rId4" display="稀土改性AZ91镁合金组织及腐蚀性能 - 中国知网 (cnki.net)"/>
    <hyperlink ref="V362" r:id="rId6" display="Mg-xSn-2Al-1Zn-5Li（x=3、4）镁合金变形行为、组织演变及力学性能的研究 - 中国知网 (cnki.net)"/>
    <hyperlink ref="V363" r:id="rId6" display="Mg-xSn-2Al-1Zn-5Li（x=3、4）镁合金变形行为、组织演变及力学性能的研究 - 中国知网 (cnki.net)"/>
    <hyperlink ref="V364" r:id="rId7" display="Sn、Sr复合添加对Mg-4Al-0.4Mn镁合金显微组织和力学性能的影响 - 中国知网 (cnki.net)"/>
    <hyperlink ref="V365:V368" r:id="rId7" display="Sn、Sr复合添加对Mg-4Al-0.5Mn镁合金显微组织和力学性能的影响 - 中国知网 (cnki.net)"/>
    <hyperlink ref="V369" r:id="rId8" display="Ca的添加对AZ系镁合金显微组织和力学性能的影响 - 中国知网 (cnki.net)"/>
    <hyperlink ref="V370:V380" r:id="rId8" display="Ca的添加对AZ系镁合金显微组织和力学性能的影响 - 中国知网 (cnki.net)"/>
    <hyperlink ref="V381" r:id="rId9" display="Sn、Ca合金化对ZA62镁合金显微组织和力学性能的影响 - 中国知网 (cnki.net)"/>
    <hyperlink ref="V382:V385" r:id="rId9" display="Sn、Ca合金化对ZA63镁合金显微组织和力学性能的影响 - 中国知网 (cnki.net)"/>
    <hyperlink ref="V386" r:id="rId10" display="稀土元素Y、Gd对AZ61镁合金组织及性能的影响 - 中国知网 (cnki.net)"/>
    <hyperlink ref="V387:V395" r:id="rId10" display="稀土元素Y、Gd对AZ61镁合金组织及性能的影响 - 中国知网 (cnki.net)"/>
    <hyperlink ref="V396" r:id="rId11" display="Ca和Sm复合微合金化对AZ31合金组织和力学性能的影响 - 中国知网 (cnki.net)"/>
    <hyperlink ref="V397" r:id="rId11" display="Ca和Sm复合微合金化对AZ32合金组织和力学性能的影响 - 中国知网 (cnki.net)"/>
    <hyperlink ref="V398" r:id="rId12" display="铈、钙和电磁搅拌对AZ91镁合金显微组织与力学性能的影响 - 中国知网 (cnki.net)"/>
    <hyperlink ref="V399:V401" r:id="rId12" display="铈、钙和电磁搅拌对AZ91镁合金显微组织与力学性能的影响 - 中国知网 (cnki.net)"/>
    <hyperlink ref="V402" r:id="rId13" display="镁合金的合金化及组织性能研究 - 中国知网 (cnki.net)"/>
    <hyperlink ref="V403:V406" r:id="rId13" display="镁合金的合金化及组织性能研究 - 中国知网 (cnki.net)"/>
    <hyperlink ref="V410" r:id="rId14" display="https://doi.org/10.1016/j.actamat.2018.08.045" tooltip="Persistent link using digital object identifier"/>
    <hyperlink ref="V411" r:id="rId14" display="https://doi.org/10.1016/j.actamat.2018.08.045" tooltip="Persistent link using digital object identifier"/>
    <hyperlink ref="V412" r:id="rId14" display="https://doi.org/10.1016/j.actamat.2018.08.045" tooltip="Persistent link using digital object identifier"/>
    <hyperlink ref="V413" r:id="rId14" display="https://doi.org/10.1016/j.actamat.2018.08.045" tooltip="Persistent link using digital object identifier"/>
    <hyperlink ref="V414" r:id="rId14" display="https://doi.org/10.1016/j.actamat.2018.08.045" tooltip="Persistent link using digital object identifier"/>
    <hyperlink ref="V415" r:id="rId14" display="https://doi.org/10.1016/j.actamat.2018.08.045" tooltip="Persistent link using digital object identifier"/>
    <hyperlink ref="V416" r:id="rId14" display="https://doi.org/10.1016/j.actamat.2018.08.045" tooltip="Persistent link using digital object identifier"/>
    <hyperlink ref="V417" r:id="rId15" display="http://dx.doi.org/10.1016/j.msea.2013.09.050 "/>
    <hyperlink ref="V565" r:id="rId16" display="https://doi.org/10.1179/1432891714Z.0000000001135"/>
    <hyperlink ref="V566" r:id="rId16" display="https://doi.org/10.1179/1432891714Z.0000000001135"/>
    <hyperlink ref="V591" r:id="rId17" display="https://doi.org/10.1016/j.jma.2019.11.005 "/>
    <hyperlink ref="V624" r:id="rId18" display="https://doi.org/10.3139/146.110721"/>
    <hyperlink ref="V625" r:id="rId18" display="https://doi.org/10.3139/146.110721"/>
    <hyperlink ref="V626" r:id="rId18" display="https://doi.org/10.3139/146.110721"/>
    <hyperlink ref="V627" r:id="rId18" display="https://doi.org/10.3139/146.110721"/>
    <hyperlink ref="V628" r:id="rId18" display="https://doi.org/10.3139/146.110721"/>
    <hyperlink ref="V629" r:id="rId18" display="https://doi.org/10.3139/146.110721"/>
    <hyperlink ref="V630" r:id="rId18" display="https://doi.org/10.3139/146.110721"/>
    <hyperlink ref="V631" r:id="rId18" display="https://doi.org/10.3139/146.110721"/>
    <hyperlink ref="V632" r:id="rId18" display="https://doi.org/10.3139/146.110721"/>
    <hyperlink ref="V633" r:id="rId18" display="https://doi.org/10.3139/146.110721"/>
    <hyperlink ref="V634" r:id="rId18" display="https://doi.org/10.3139/146.110721"/>
    <hyperlink ref="V635" r:id="rId18" display="https://doi.org/10.3139/146.110721"/>
    <hyperlink ref="V636" r:id="rId18" display="https://doi.org/10.3139/146.110721"/>
    <hyperlink ref="V637" r:id="rId18" display="https://doi.org/10.3139/146.110721"/>
    <hyperlink ref="V638" r:id="rId18" display="https://doi.org/10.3139/146.110721"/>
    <hyperlink ref="V639" r:id="rId18" display="https://doi.org/10.3139/146.110721"/>
    <hyperlink ref="V640" r:id="rId19" display="10.1016/S0921-5093(00)01660-9"/>
    <hyperlink ref="V641" r:id="rId19" display="10.1016/S0921-5093(00)01660-9"/>
    <hyperlink ref="V642" r:id="rId19" display="10.1016/S0921-5093(00)01660-9"/>
    <hyperlink ref="V643" r:id="rId19" display="10.1016/S0921-5093(00)01660-9"/>
    <hyperlink ref="V644" r:id="rId19" display="10.1016/S0921-5093(00)01660-9"/>
    <hyperlink ref="V645" r:id="rId19" display="10.1016/S0921-5093(00)01660-9"/>
    <hyperlink ref="V646" r:id="rId19" display="10.1016/S0921-5093(00)01660-9"/>
    <hyperlink ref="V647" r:id="rId19" display="10.1016/S0921-5093(00)01660-9"/>
    <hyperlink ref="V648" r:id="rId19" display="10.1016/S0921-5093(00)01660-9"/>
    <hyperlink ref="V649" r:id="rId19" display="10.1016/S0921-5093(00)01660-9"/>
    <hyperlink ref="V650" r:id="rId19" display="10.1016/S0921-5093(00)01660-9"/>
    <hyperlink ref="V651" r:id="rId19" display="10.1016/S0921-5093(00)01660-9"/>
    <hyperlink ref="V652" r:id="rId19" display="10.1016/S0921-5093(00)01660-9"/>
    <hyperlink ref="V695" r:id="rId20" display="https://doi.org/10.1016/j.jma.2022.10.003" tooltip="Persistent link using digital object identifier"/>
    <hyperlink ref="V696" r:id="rId20" display="https://doi.org/10.1016/j.jma.2022.10.003" tooltip="Persistent link using digital object identifier"/>
    <hyperlink ref="V704" r:id="rId21" display="Mg-Al合金晶粒细化、热变形行为及加工工艺的研究 - 中国知网 (cnki.net)"/>
    <hyperlink ref="V705" r:id="rId21" display="Mg-Al合金晶粒细化、热变形行为及加工工艺的研究 - 中国知网 (cnki.net)"/>
    <hyperlink ref="V706" r:id="rId21" display="Mg-Al合金晶粒细化、热变形行为及加工工艺的研究 - 中国知网 (cnki.net)"/>
    <hyperlink ref="V708" r:id="rId21" display="Mg-Al合金晶粒细化、热变形行为及加工工艺的研究 - 中国知网 (cnki.net)"/>
    <hyperlink ref="V710" r:id="rId21" display="Mg-Al合金晶粒细化、热变形行为及加工工艺的研究 - 中国知网 (cnki.net)"/>
    <hyperlink ref="V712" r:id="rId21" display="Mg-Al合金晶粒细化、热变形行为及加工工艺的研究 - 中国知网 (cnki.net)"/>
    <hyperlink ref="V714" r:id="rId21" display="Mg-Al合金晶粒细化、热变形行为及加工工艺的研究 - 中国知网 (cnki.net)"/>
    <hyperlink ref="V716" r:id="rId21" display="Mg-Al合金晶粒细化、热变形行为及加工工艺的研究 - 中国知网 (cnki.net)"/>
    <hyperlink ref="V718" r:id="rId21" display="Mg-Al合金晶粒细化、热变形行为及加工工艺的研究 - 中国知网 (cnki.net)"/>
    <hyperlink ref="V720" r:id="rId21" display="Mg-Al合金晶粒细化、热变形行为及加工工艺的研究 - 中国知网 (cnki.net)"/>
    <hyperlink ref="V722" r:id="rId21" display="Mg-Al合金晶粒细化、热变形行为及加工工艺的研究 - 中国知网 (cnki.net)"/>
    <hyperlink ref="V724" r:id="rId21" display="Mg-Al合金晶粒细化、热变形行为及加工工艺的研究 - 中国知网 (cnki.net)"/>
    <hyperlink ref="V726" r:id="rId21" display="Mg-Al合金晶粒细化、热变形行为及加工工艺的研究 - 中国知网 (cnki.net)"/>
    <hyperlink ref="V728" r:id="rId21" display="Mg-Al合金晶粒细化、热变形行为及加工工艺的研究 - 中国知网 (cnki.net)"/>
    <hyperlink ref="V730" r:id="rId21" display="Mg-Al合金晶粒细化、热变形行为及加工工艺的研究 - 中国知网 (cnki.net)"/>
    <hyperlink ref="V732" r:id="rId21" display="Mg-Al合金晶粒细化、热变形行为及加工工艺的研究 - 中国知网 (cnki.net)"/>
    <hyperlink ref="V734" r:id="rId21" display="Mg-Al合金晶粒细化、热变形行为及加工工艺的研究 - 中国知网 (cnki.net)"/>
    <hyperlink ref="V736" r:id="rId21" display="Mg-Al合金晶粒细化、热变形行为及加工工艺的研究 - 中国知网 (cnki.net)"/>
    <hyperlink ref="V738" r:id="rId21" display="Mg-Al合金晶粒细化、热变形行为及加工工艺的研究 - 中国知网 (cnki.net)"/>
    <hyperlink ref="V740" r:id="rId21" display="Mg-Al合金晶粒细化、热变形行为及加工工艺的研究 - 中国知网 (cnki.net)"/>
    <hyperlink ref="V742" r:id="rId21" display="Mg-Al合金晶粒细化、热变形行为及加工工艺的研究 - 中国知网 (cnki.net)"/>
    <hyperlink ref="V744" r:id="rId21" display="Mg-Al合金晶粒细化、热变形行为及加工工艺的研究 - 中国知网 (cnki.net)"/>
    <hyperlink ref="V746" r:id="rId21" display="Mg-Al合金晶粒细化、热变形行为及加工工艺的研究 - 中国知网 (cnki.net)"/>
    <hyperlink ref="V748" r:id="rId21" display="Mg-Al合金晶粒细化、热变形行为及加工工艺的研究 - 中国知网 (cnki.net)"/>
    <hyperlink ref="V750" r:id="rId21" display="Mg-Al合金晶粒细化、热变形行为及加工工艺的研究 - 中国知网 (cnki.net)"/>
    <hyperlink ref="V752" r:id="rId21" display="Mg-Al合金晶粒细化、热变形行为及加工工艺的研究 - 中国知网 (cnki.net)"/>
    <hyperlink ref="V754" r:id="rId21" display="Mg-Al合金晶粒细化、热变形行为及加工工艺的研究 - 中国知网 (cnki.net)"/>
    <hyperlink ref="V707" r:id="rId21" display="Mg-Al合金晶粒细化、热变形行为及加工工艺的研究 - 中国知网 (cnki.net)"/>
    <hyperlink ref="V709" r:id="rId21" display="Mg-Al合金晶粒细化、热变形行为及加工工艺的研究 - 中国知网 (cnki.net)"/>
    <hyperlink ref="V711" r:id="rId21" display="Mg-Al合金晶粒细化、热变形行为及加工工艺的研究 - 中国知网 (cnki.net)"/>
    <hyperlink ref="V713" r:id="rId21" display="Mg-Al合金晶粒细化、热变形行为及加工工艺的研究 - 中国知网 (cnki.net)"/>
    <hyperlink ref="V715" r:id="rId21" display="Mg-Al合金晶粒细化、热变形行为及加工工艺的研究 - 中国知网 (cnki.net)"/>
    <hyperlink ref="V717" r:id="rId21" display="Mg-Al合金晶粒细化、热变形行为及加工工艺的研究 - 中国知网 (cnki.net)"/>
    <hyperlink ref="V719" r:id="rId21" display="Mg-Al合金晶粒细化、热变形行为及加工工艺的研究 - 中国知网 (cnki.net)"/>
    <hyperlink ref="V721" r:id="rId21" display="Mg-Al合金晶粒细化、热变形行为及加工工艺的研究 - 中国知网 (cnki.net)"/>
    <hyperlink ref="V723" r:id="rId21" display="Mg-Al合金晶粒细化、热变形行为及加工工艺的研究 - 中国知网 (cnki.net)"/>
    <hyperlink ref="V725" r:id="rId21" display="Mg-Al合金晶粒细化、热变形行为及加工工艺的研究 - 中国知网 (cnki.net)"/>
    <hyperlink ref="V727" r:id="rId21" display="Mg-Al合金晶粒细化、热变形行为及加工工艺的研究 - 中国知网 (cnki.net)"/>
    <hyperlink ref="V729" r:id="rId21" display="Mg-Al合金晶粒细化、热变形行为及加工工艺的研究 - 中国知网 (cnki.net)"/>
    <hyperlink ref="V731" r:id="rId21" display="Mg-Al合金晶粒细化、热变形行为及加工工艺的研究 - 中国知网 (cnki.net)"/>
    <hyperlink ref="V733" r:id="rId21" display="Mg-Al合金晶粒细化、热变形行为及加工工艺的研究 - 中国知网 (cnki.net)"/>
    <hyperlink ref="V735" r:id="rId21" display="Mg-Al合金晶粒细化、热变形行为及加工工艺的研究 - 中国知网 (cnki.net)"/>
    <hyperlink ref="V737" r:id="rId21" display="Mg-Al合金晶粒细化、热变形行为及加工工艺的研究 - 中国知网 (cnki.net)"/>
    <hyperlink ref="V739" r:id="rId21" display="Mg-Al合金晶粒细化、热变形行为及加工工艺的研究 - 中国知网 (cnki.net)"/>
    <hyperlink ref="V741" r:id="rId21" display="Mg-Al合金晶粒细化、热变形行为及加工工艺的研究 - 中国知网 (cnki.net)"/>
    <hyperlink ref="V743" r:id="rId21" display="Mg-Al合金晶粒细化、热变形行为及加工工艺的研究 - 中国知网 (cnki.net)"/>
    <hyperlink ref="V745" r:id="rId21" display="Mg-Al合金晶粒细化、热变形行为及加工工艺的研究 - 中国知网 (cnki.net)"/>
    <hyperlink ref="V747" r:id="rId21" display="Mg-Al合金晶粒细化、热变形行为及加工工艺的研究 - 中国知网 (cnki.net)"/>
    <hyperlink ref="V749" r:id="rId21" display="Mg-Al合金晶粒细化、热变形行为及加工工艺的研究 - 中国知网 (cnki.net)"/>
    <hyperlink ref="V751" r:id="rId21" display="Mg-Al合金晶粒细化、热变形行为及加工工艺的研究 - 中国知网 (cnki.net)"/>
    <hyperlink ref="V753" r:id="rId21" display="Mg-Al合金晶粒细化、热变形行为及加工工艺的研究 - 中国知网 (cnki.net)"/>
    <hyperlink ref="V756" r:id="rId22" display="Mg-9Al-2Sn-Mn/Sr(wt.%)合金显微组织和力学性能研究 - 中国知网 (cnki.net)"/>
    <hyperlink ref="V757" r:id="rId22" display="Mg-9Al-2Sn-Mn/Sr(wt.%)合金显微组织和力学性能研究 - 中国知网 (cnki.net)"/>
    <hyperlink ref="V758" r:id="rId22" display="Mg-9Al-2Sn-Mn/Sr(wt.%)合金显微组织和力学性能研究 - 中国知网 (cnki.net)"/>
    <hyperlink ref="V759:V762" r:id="rId22" display="Mg-9Al-2Sn-Mn/Sr(wt.%)合金显微组织和力学性能研究 - 中国知网 (cnki.net)"/>
    <hyperlink ref="V763" r:id="rId23" display="Mg-9Al-2Sm(wt.%)铸造合金显微组织与力学性能研究 - 中国知网 (cnki.net)"/>
    <hyperlink ref="V764:V784" r:id="rId23" display="Mg-9Al-2Sm(wt.%)铸造合金显微组织与力学性能研究 - 中国知网 (cnki.net)"/>
    <hyperlink ref="V787" r:id="rId24" display="Mg-Al-Mn-Si变形镁合金组织、性能及热变形行为的研究 - 中国知网 (cnki.net)"/>
    <hyperlink ref="V788" r:id="rId24" display="Mg-Al-Mn-Si变形镁合金组织、性能及热变形行为的研究 - 中国知网 (cnki.net)"/>
    <hyperlink ref="V789" r:id="rId24" display="Mg-Al-Mn-Si变形镁合金组织、性能及热变形行为的研究 - 中国知网 (cnki.net)"/>
    <hyperlink ref="V791" r:id="rId24" display="Mg-Al-Mn-Si变形镁合金组织、性能及热变形行为的研究 - 中国知网 (cnki.net)"/>
    <hyperlink ref="V793" r:id="rId24" display="Mg-Al-Mn-Si变形镁合金组织、性能及热变形行为的研究 - 中国知网 (cnki.net)"/>
    <hyperlink ref="V795" r:id="rId24" display="Mg-Al-Mn-Si变形镁合金组织、性能及热变形行为的研究 - 中国知网 (cnki.net)"/>
    <hyperlink ref="V797" r:id="rId24" display="Mg-Al-Mn-Si变形镁合金组织、性能及热变形行为的研究 - 中国知网 (cnki.net)"/>
    <hyperlink ref="V799" r:id="rId24" display="Mg-Al-Mn-Si变形镁合金组织、性能及热变形行为的研究 - 中国知网 (cnki.net)"/>
    <hyperlink ref="V801" r:id="rId24" display="Mg-Al-Mn-Si变形镁合金组织、性能及热变形行为的研究 - 中国知网 (cnki.net)"/>
    <hyperlink ref="V790" r:id="rId24" display="Mg-Al-Mn-Si变形镁合金组织、性能及热变形行为的研究 - 中国知网 (cnki.net)"/>
    <hyperlink ref="V792" r:id="rId24" display="Mg-Al-Mn-Si变形镁合金组织、性能及热变形行为的研究 - 中国知网 (cnki.net)"/>
    <hyperlink ref="V794" r:id="rId24" display="Mg-Al-Mn-Si变形镁合金组织、性能及热变形行为的研究 - 中国知网 (cnki.net)"/>
    <hyperlink ref="V796" r:id="rId24" display="Mg-Al-Mn-Si变形镁合金组织、性能及热变形行为的研究 - 中国知网 (cnki.net)"/>
    <hyperlink ref="V798" r:id="rId24" display="Mg-Al-Mn-Si变形镁合金组织、性能及热变形行为的研究 - 中国知网 (cnki.net)"/>
    <hyperlink ref="V800" r:id="rId24" display="Mg-Al-Mn-Si变形镁合金组织、性能及热变形行为的研究 - 中国知网 (cnki.net)"/>
    <hyperlink ref="V827" r:id="rId25" display="Mg-Y-Zn-Zr耐热镁合金组织和性能研究 - 中国知网 (cnki.net)"/>
    <hyperlink ref="V828:V830" r:id="rId25" display="Mg-Y-Zn-Zr耐热镁合金组织和性能研究 - 中国知网 (cnki.net)"/>
    <hyperlink ref="V825" r:id="rId26" display="Mg-Y-Gd-Zn-Zr镁合金组织、性能及其蠕变行为研究 - 中国知网 (cnki.net)"/>
    <hyperlink ref="V826" r:id="rId26" display="Mg-Y-Gd-Zn-Zr镁合金组织、性能及其蠕变行为研究 - 中国知网 (cnki.net)"/>
    <hyperlink ref="V831" r:id="rId27" display="Mg-Y-Sm-Zr系镁合金组织性能研究 - 中国知网 (cnki.net)"/>
    <hyperlink ref="V832" r:id="rId27" display="Mg-Y-Sm-Zr系镁合金组织性能研究 - 中国知网 (cnki.net)"/>
    <hyperlink ref="V833" r:id="rId27" display="Mg-Y-Sm-Zr系镁合金组织性能研究 - 中国知网 (cnki.net)"/>
    <hyperlink ref="V835" r:id="rId27" display="Mg-Y-Sm-Zr系镁合金组织性能研究 - 中国知网 (cnki.net)"/>
    <hyperlink ref="V834" r:id="rId27" display="Mg-Y-Sm-Zr系镁合金组织性能研究 - 中国知网 (cnki.net)"/>
    <hyperlink ref="V836" r:id="rId27" display="Mg-Y-Sm-Zr系镁合金组织性能研究 - 中国知网 (cnki.net)"/>
    <hyperlink ref="V837" r:id="rId27" display="Mg-Y-Sm-Zr系镁合金组织性能研究 - 中国知网 (cnki.net)"/>
    <hyperlink ref="V839" r:id="rId27" display="Mg-Y-Sm-Zr系镁合金组织性能研究 - 中国知网 (cnki.net)"/>
    <hyperlink ref="V838" r:id="rId27" display="Mg-Y-Sm-Zr系镁合金组织性能研究 - 中国知网 (cnki.net)"/>
    <hyperlink ref="V841" r:id="rId27" display="Mg-Y-Sm-Zr系镁合金组织性能研究 - 中国知网 (cnki.net)"/>
    <hyperlink ref="V843" r:id="rId27" display="Mg-Y-Sm-Zr系镁合金组织性能研究 - 中国知网 (cnki.net)"/>
    <hyperlink ref="V840" r:id="rId27" display="Mg-Y-Sm-Zr系镁合金组织性能研究 - 中国知网 (cnki.net)"/>
    <hyperlink ref="V842" r:id="rId27" display="Mg-Y-Sm-Zr系镁合金组织性能研究 - 中国知网 (cnki.net)"/>
    <hyperlink ref="V844" r:id="rId27" display="Mg-Y-Sm-Zr系镁合金组织性能研究 - 中国知网 (cnki.net)"/>
    <hyperlink ref="V845" r:id="rId28" display="挤压Mg-Ce-Zn合金微观组织与力学性能研究 - 中国知网 (cnki.net)"/>
    <hyperlink ref="V846" r:id="rId28" display="挤压Mg-Ce-Zn合金微观组织与力学性能研究 - 中国知网 (cnki.net)"/>
    <hyperlink ref="V847" r:id="rId28" display="挤压Mg-Ce-Zn合金微观组织与力学性能研究 - 中国知网 (cnki.net)"/>
    <hyperlink ref="V870" r:id="rId29" display="Mg-Al-Sn-Mn系镁合金显微组织与力学性能的研究 - 中国知网 (cnki.net)"/>
    <hyperlink ref="V871" r:id="rId29" display="Mg-Al-Sn-Mn系镁合金显微组织与力学性能的研究 - 中国知网 (cnki.net)"/>
    <hyperlink ref="V872" r:id="rId29" display="Mg-Al-Sn-Mn系镁合金显微组织与力学性能的研究 - 中国知网 (cnki.net)"/>
    <hyperlink ref="V873" r:id="rId29" display="Mg-Al-Sn-Mn系镁合金显微组织与力学性能的研究 - 中国知网 (cnki.net)"/>
    <hyperlink ref="V874" r:id="rId29" display="Mg-Al-Sn-Mn系镁合金显微组织与力学性能的研究 - 中国知网 (cnki.net)"/>
    <hyperlink ref="V875" r:id="rId29" display="Mg-Al-Sn-Mn系镁合金显微组织与力学性能的研究 - 中国知网 (cnki.net)"/>
    <hyperlink ref="V876" r:id="rId29" display="Mg-Al-Sn-Mn系镁合金显微组织与力学性能的研究 - 中国知网 (cnki.net)"/>
    <hyperlink ref="V877" r:id="rId29" display="Mg-Al-Sn-Mn系镁合金显微组织与力学性能的研究 - 中国知网 (cnki.net)"/>
    <hyperlink ref="V878" r:id="rId29" display="Mg-Al-Sn-Mn系镁合金显微组织与力学性能的研究 - 中国知网 (cnki.net)"/>
    <hyperlink ref="V879" r:id="rId29" display="Mg-Al-Sn-Mn系镁合金显微组织与力学性能的研究 - 中国知网 (cnki.net)"/>
    <hyperlink ref="V880" r:id="rId29" display="Mg-Al-Sn-Mn系镁合金显微组织与力学性能的研究 - 中国知网 (cnki.net)"/>
    <hyperlink ref="V881" r:id="rId29" display="Mg-Al-Sn-Mn系镁合金显微组织与力学性能的研究 - 中国知网 (cnki.net)"/>
    <hyperlink ref="V21" r:id="rId30" display="http://dx.doi.org/10.1016/j.jallcom.2014.07.028 "/>
    <hyperlink ref="V88" r:id="rId31" display="https://doi.org/10.1016/j.jma.2020.06.009 "/>
    <hyperlink ref="V99" r:id="rId32" display="https://doi.org/10.1016/j.jmst.2020.05.028 "/>
    <hyperlink ref="V78" r:id="rId33" display="https://doi.org/10.1016/j.jma.2021.08.037 "/>
    <hyperlink ref="V71" r:id="rId34" display="https://doi.org/10.1016/j.jmrt.2023.02.056"/>
    <hyperlink ref="V113" r:id="rId35" display="Mg-Gd-Y-Zr（-Ca）合金的微观组织演变、性能和断裂行为研究 - 中国知网 (cnki.net)"/>
    <hyperlink ref="V114" r:id="rId35" display="Mg-Gd-Y-Zr（-Ca）合金的微观组织演变、性能和断裂行为研究 - 中国知网 (cnki.net)"/>
    <hyperlink ref="V116" r:id="rId35" display="Mg-Gd-Y-Zr（-Ca）合金的微观组织演变、性能和断裂行为研究 - 中国知网 (cnki.net)"/>
    <hyperlink ref="V118" r:id="rId35" display="Mg-Gd-Y-Zr（-Ca）合金的微观组织演变、性能和断裂行为研究 - 中国知网 (cnki.net)"/>
    <hyperlink ref="V120" r:id="rId35" display="Mg-Gd-Y-Zr（-Ca）合金的微观组织演变、性能和断裂行为研究 - 中国知网 (cnki.net)"/>
    <hyperlink ref="V122" r:id="rId35" display="Mg-Gd-Y-Zr（-Ca）合金的微观组织演变、性能和断裂行为研究 - 中国知网 (cnki.net)"/>
    <hyperlink ref="V124" r:id="rId35" display="Mg-Gd-Y-Zr（-Ca）合金的微观组织演变、性能和断裂行为研究 - 中国知网 (cnki.net)"/>
    <hyperlink ref="V126" r:id="rId35" display="Mg-Gd-Y-Zr（-Ca）合金的微观组织演变、性能和断裂行为研究 - 中国知网 (cnki.net)"/>
    <hyperlink ref="V128" r:id="rId35" display="Mg-Gd-Y-Zr（-Ca）合金的微观组织演变、性能和断裂行为研究 - 中国知网 (cnki.net)"/>
    <hyperlink ref="V130" r:id="rId35" display="Mg-Gd-Y-Zr（-Ca）合金的微观组织演变、性能和断裂行为研究 - 中国知网 (cnki.net)"/>
    <hyperlink ref="V132" r:id="rId35" display="Mg-Gd-Y-Zr（-Ca）合金的微观组织演变、性能和断裂行为研究 - 中国知网 (cnki.net)"/>
    <hyperlink ref="V134" r:id="rId35" display="Mg-Gd-Y-Zr（-Ca）合金的微观组织演变、性能和断裂行为研究 - 中国知网 (cnki.net)"/>
    <hyperlink ref="V136" r:id="rId35" display="Mg-Gd-Y-Zr（-Ca）合金的微观组织演变、性能和断裂行为研究 - 中国知网 (cnki.net)"/>
    <hyperlink ref="V138" r:id="rId35" display="Mg-Gd-Y-Zr（-Ca）合金的微观组织演变、性能和断裂行为研究 - 中国知网 (cnki.net)"/>
    <hyperlink ref="V140" r:id="rId35" display="Mg-Gd-Y-Zr（-Ca）合金的微观组织演变、性能和断裂行为研究 - 中国知网 (cnki.net)"/>
    <hyperlink ref="V142" r:id="rId35" display="Mg-Gd-Y-Zr（-Ca）合金的微观组织演变、性能和断裂行为研究 - 中国知网 (cnki.net)"/>
    <hyperlink ref="V144" r:id="rId35" display="Mg-Gd-Y-Zr（-Ca）合金的微观组织演变、性能和断裂行为研究 - 中国知网 (cnki.net)"/>
    <hyperlink ref="V146" r:id="rId35" display="Mg-Gd-Y-Zr（-Ca）合金的微观组织演变、性能和断裂行为研究 - 中国知网 (cnki.net)"/>
    <hyperlink ref="V148" r:id="rId35" display="Mg-Gd-Y-Zr（-Ca）合金的微观组织演变、性能和断裂行为研究 - 中国知网 (cnki.net)"/>
    <hyperlink ref="V150" r:id="rId35" display="Mg-Gd-Y-Zr（-Ca）合金的微观组织演变、性能和断裂行为研究 - 中国知网 (cnki.net)"/>
    <hyperlink ref="V152" r:id="rId35" display="Mg-Gd-Y-Zr（-Ca）合金的微观组织演变、性能和断裂行为研究 - 中国知网 (cnki.net)"/>
    <hyperlink ref="V154" r:id="rId35" display="Mg-Gd-Y-Zr（-Ca）合金的微观组织演变、性能和断裂行为研究 - 中国知网 (cnki.net)"/>
    <hyperlink ref="V156" r:id="rId35" display="Mg-Gd-Y-Zr（-Ca）合金的微观组织演变、性能和断裂行为研究 - 中国知网 (cnki.net)"/>
    <hyperlink ref="V158" r:id="rId35" display="Mg-Gd-Y-Zr（-Ca）合金的微观组织演变、性能和断裂行为研究 - 中国知网 (cnki.net)"/>
    <hyperlink ref="V160" r:id="rId35" display="Mg-Gd-Y-Zr（-Ca）合金的微观组织演变、性能和断裂行为研究 - 中国知网 (cnki.net)"/>
    <hyperlink ref="V112" r:id="rId35" display="Mg-Gd-Y-Zr（-Ca）合金的微观组织演变、性能和断裂行为研究 - 中国知网 (cnki.net)"/>
    <hyperlink ref="V115" r:id="rId35" display="Mg-Gd-Y-Zr（-Ca）合金的微观组织演变、性能和断裂行为研究 - 中国知网 (cnki.net)"/>
    <hyperlink ref="V117" r:id="rId35" display="Mg-Gd-Y-Zr（-Ca）合金的微观组织演变、性能和断裂行为研究 - 中国知网 (cnki.net)"/>
    <hyperlink ref="V119" r:id="rId35" display="Mg-Gd-Y-Zr（-Ca）合金的微观组织演变、性能和断裂行为研究 - 中国知网 (cnki.net)"/>
    <hyperlink ref="V121" r:id="rId35" display="Mg-Gd-Y-Zr（-Ca）合金的微观组织演变、性能和断裂行为研究 - 中国知网 (cnki.net)"/>
    <hyperlink ref="V123" r:id="rId35" display="Mg-Gd-Y-Zr（-Ca）合金的微观组织演变、性能和断裂行为研究 - 中国知网 (cnki.net)"/>
    <hyperlink ref="V125" r:id="rId35" display="Mg-Gd-Y-Zr（-Ca）合金的微观组织演变、性能和断裂行为研究 - 中国知网 (cnki.net)"/>
    <hyperlink ref="V127" r:id="rId35" display="Mg-Gd-Y-Zr（-Ca）合金的微观组织演变、性能和断裂行为研究 - 中国知网 (cnki.net)"/>
    <hyperlink ref="V129" r:id="rId35" display="Mg-Gd-Y-Zr（-Ca）合金的微观组织演变、性能和断裂行为研究 - 中国知网 (cnki.net)"/>
    <hyperlink ref="V131" r:id="rId35" display="Mg-Gd-Y-Zr（-Ca）合金的微观组织演变、性能和断裂行为研究 - 中国知网 (cnki.net)"/>
    <hyperlink ref="V133" r:id="rId35" display="Mg-Gd-Y-Zr（-Ca）合金的微观组织演变、性能和断裂行为研究 - 中国知网 (cnki.net)"/>
    <hyperlink ref="V135" r:id="rId35" display="Mg-Gd-Y-Zr（-Ca）合金的微观组织演变、性能和断裂行为研究 - 中国知网 (cnki.net)"/>
    <hyperlink ref="V137" r:id="rId35" display="Mg-Gd-Y-Zr（-Ca）合金的微观组织演变、性能和断裂行为研究 - 中国知网 (cnki.net)"/>
    <hyperlink ref="V139" r:id="rId35" display="Mg-Gd-Y-Zr（-Ca）合金的微观组织演变、性能和断裂行为研究 - 中国知网 (cnki.net)"/>
    <hyperlink ref="V141" r:id="rId35" display="Mg-Gd-Y-Zr（-Ca）合金的微观组织演变、性能和断裂行为研究 - 中国知网 (cnki.net)"/>
    <hyperlink ref="V143" r:id="rId35" display="Mg-Gd-Y-Zr（-Ca）合金的微观组织演变、性能和断裂行为研究 - 中国知网 (cnki.net)"/>
    <hyperlink ref="V145" r:id="rId35" display="Mg-Gd-Y-Zr（-Ca）合金的微观组织演变、性能和断裂行为研究 - 中国知网 (cnki.net)"/>
    <hyperlink ref="V147" r:id="rId35" display="Mg-Gd-Y-Zr（-Ca）合金的微观组织演变、性能和断裂行为研究 - 中国知网 (cnki.net)"/>
    <hyperlink ref="V149" r:id="rId35" display="Mg-Gd-Y-Zr（-Ca）合金的微观组织演变、性能和断裂行为研究 - 中国知网 (cnki.net)"/>
    <hyperlink ref="V151" r:id="rId35" display="Mg-Gd-Y-Zr（-Ca）合金的微观组织演变、性能和断裂行为研究 - 中国知网 (cnki.net)"/>
    <hyperlink ref="V153" r:id="rId35" display="Mg-Gd-Y-Zr（-Ca）合金的微观组织演变、性能和断裂行为研究 - 中国知网 (cnki.net)"/>
    <hyperlink ref="V155" r:id="rId35" display="Mg-Gd-Y-Zr（-Ca）合金的微观组织演变、性能和断裂行为研究 - 中国知网 (cnki.net)"/>
    <hyperlink ref="V157" r:id="rId35" display="Mg-Gd-Y-Zr（-Ca）合金的微观组织演变、性能和断裂行为研究 - 中国知网 (cnki.net)"/>
    <hyperlink ref="V159" r:id="rId35" display="Mg-Gd-Y-Zr（-Ca）合金的微观组织演变、性能和断裂行为研究 - 中国知网 (cnki.net)"/>
    <hyperlink ref="V162" r:id="rId36" display="含LPSO相的Mg-Gd-Y-Zn系镁合金组织与性能的研究 - 中国知网 (cnki.net)"/>
    <hyperlink ref="V163" r:id="rId36" display="含LPSO相的Mg-Gd-Y-Zn系镁合金组织与性能的研究 - 中国知网 (cnki.net)"/>
    <hyperlink ref="V164" r:id="rId36" display="含LPSO相的Mg-Gd-Y-Zn系镁合金组织与性能的研究 - 中国知网 (cnki.net)"/>
    <hyperlink ref="V165" r:id="rId36" display="含LPSO相的Mg-Gd-Y-Zn系镁合金组织与性能的研究 - 中国知网 (cnki.net)"/>
    <hyperlink ref="V166" r:id="rId36" display="含LPSO相的Mg-Gd-Y-Zn系镁合金组织与性能的研究 - 中国知网 (cnki.net)"/>
    <hyperlink ref="V167" r:id="rId36" display="含LPSO相的Mg-Gd-Y-Zn系镁合金组织与性能的研究 - 中国知网 (cnki.net)"/>
    <hyperlink ref="V168" r:id="rId36" display="含LPSO相的Mg-Gd-Y-Zn系镁合金组织与性能的研究 - 中国知网 (cnki.net)"/>
    <hyperlink ref="V161" r:id="rId36" display="含LPSO相的Mg-Gd-Y-Zn系镁合金组织与性能的研究 - 中国知网 (cnki.net)"/>
    <hyperlink ref="V169" r:id="rId36" display="含LPSO相的Mg-Gd-Y-Zn系镁合金组织与性能的研究 - 中国知网 (cnki.net)"/>
    <hyperlink ref="V170" r:id="rId36" display="含LPSO相的Mg-Gd-Y-Zn系镁合金组织与性能的研究 - 中国知网 (cnki.net)"/>
    <hyperlink ref="V171:V181" r:id="rId36" display="含LPSO相的Mg-Gd-Y-Zn系镁合金组织与性能的研究 - 中国知网 (cnki.net)"/>
    <hyperlink ref="V182" r:id="rId37" display="高强度Mg-Gd-Y-Zr合金组织和抗蠕变性能研究 - 中国知网 (cnki.net)"/>
    <hyperlink ref="V183" r:id="rId37" display="高强度Mg-Gd-Y-Zr合金组织和抗蠕变性能研究 - 中国知网 (cnki.net)"/>
    <hyperlink ref="V184" r:id="rId37" display="高强度Mg-Gd-Y-Zr合金组织和抗蠕变性能研究 - 中国知网 (cnki.net)"/>
    <hyperlink ref="V185" r:id="rId37" display="高强度Mg-Gd-Y-Zr合金组织和抗蠕变性能研究 - 中国知网 (cnki.net)"/>
    <hyperlink ref="V186" r:id="rId38" display="Mg-8Gd-4Y-xZn合金组织结构和强韧化协同调控研究 - 中国知网 (cnki.net)"/>
    <hyperlink ref="V187:V194" r:id="rId38" display="Mg-8Gd-4Y-xZn合金组织结构和强韧化协同调控研究 - 中国知网 (cnki.net)"/>
    <hyperlink ref="V195" r:id="rId39" display="Mg-Gd-Y-xZn-Zr镁合金组织与性能研究 - 中国知网 (cnki.net)"/>
    <hyperlink ref="V196:V210" r:id="rId39" display="Mg-Gd-Y-xZn-Zr镁合金组织与性能研究 - 中国知网 (cnki.net)"/>
    <hyperlink ref="V211" r:id="rId40" display="Gd元素对Mg-Zn-Mn系变形镁合金组织与性能的影响研究 - 中国知网 (cnki.net)"/>
    <hyperlink ref="V212:V214" r:id="rId40" display="Gd元素对Mg-Zn-Mn系变形镁合金组织与性能的影响研究 - 中国知网 (cnki.net)"/>
    <hyperlink ref="V215" r:id="rId41" display="Mg-Gd-Y-Zn-Zr-xAg合金锻造变形及时效强化行为研究 - 中国知网 (cnki.net)"/>
    <hyperlink ref="V216:V229" r:id="rId41" display="Mg-Gd-Y-Zn-Zr-xAg合金锻造变形及时效强化行为研究 - 中国知网 (cnki.net)"/>
    <hyperlink ref="V241" r:id="rId42" display="Ag对Mg-Gd（-Y）-Zr合金微观组织、力学性能和腐蚀行为的影响 - 中国知网 (cnki.net)"/>
    <hyperlink ref="V230" r:id="rId43" display="Mg-Gd(-Y-Sm-Zr)耐热镁合金组织和性能研究 - 中国知网 (cnki.net)"/>
    <hyperlink ref="V231" r:id="rId43" display="Mg-Gd(-Y-Sm-Zr)耐热镁合金组织和性能研究 - 中国知网 (cnki.net)"/>
    <hyperlink ref="V232" r:id="rId43" display="Mg-Gd(-Y-Sm-Zr)耐热镁合金组织和性能研究 - 中国知网 (cnki.net)"/>
    <hyperlink ref="V233:V240" r:id="rId43" display="Mg-Gd(-Y-Sm-Zr)耐热镁合金组织和性能研究 - 中国知网 (cnki.net)"/>
    <hyperlink ref="V242:V258" r:id="rId42" display="Ag对Mg-Gd（-Y）-Zr合金微观组织、力学性能和腐蚀行为的影响 - 中国知网 (cnki.net)"/>
    <hyperlink ref="V259" r:id="rId44" display="高强度Mg-Gd-Zn系镁合金的研发及强化机理研究 - 中国知网 (cnki.net)"/>
    <hyperlink ref="V271:V284" r:id="rId44" display="高强度Mg-Gd-Zn系镁合金的研发及强化机理研究 - 中国知网 (cnki.net)"/>
    <hyperlink ref="V260:V270" r:id="rId44" display="高强度Mg-Gd-Zn系镁合金的研发及强化机理研究 - 中国知网 (cnki.net)"/>
    <hyperlink ref="V285" r:id="rId45" display="新型超高强Mg-Gd-Y-Zn-Zr合金的成分设计及热处理工艺优化 - 中国知网 (cnki.net)"/>
    <hyperlink ref="V286:V291" r:id="rId45" display="新型超高强Mg-Gd-Y-Zn-Zr合金的成分设计及热处理工艺优化 - 中国知网 (cnki.net)"/>
    <hyperlink ref="V292:V295" r:id="rId45" display="新型超高强Mg-Gd-Y-Zn-Zr合金的成分设计及热处理工艺优化 - 中国知网 (cnki.net)"/>
    <hyperlink ref="V296" r:id="rId46" display="高性能Mg-Gd-Y-Zn-Mn合金组织与力学性能研究 - 中国知网 (cnki.net)"/>
    <hyperlink ref="V297:V301" r:id="rId46" display="高性能Mg-Gd-Y-Zn-Mn合金组织与力学性能研究 - 中国知网 (cnki.net)"/>
    <hyperlink ref="V302" r:id="rId47" display="Ca及Yb的添加对Mg-Gd-Y-Zn合金组织、力学性能及阻燃性能的影响 - 中国知网 (cnki.net)"/>
    <hyperlink ref="V303:V306" r:id="rId47" display="Ca及Yb的添加对Mg-Gd-Y-Zn合金组织、力学性能及阻燃性能的影响 - 中国知网 (cnki.net)"/>
    <hyperlink ref="V307:V313" r:id="rId47" display="Ca及Yb的添加对Mg-Gd-Y-Zn合金组织、力学性能及阻燃性能的影响 - 中国知网 (cnki.net)"/>
    <hyperlink ref="V697" r:id="rId48" display="http://dx.doi.org/10.1016/j.msea.2017.07.048 "/>
    <hyperlink ref="V701" r:id="rId49" display="https://doi.org/10.1016/j.jmst.2019.11.033 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" width="61.3666666666667" customWidth="1"/>
  </cols>
  <sheetData>
    <row r="1" ht="298" customHeight="1" spans="1:1">
      <c r="A1" s="1" t="s">
        <v>1101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析出相说明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acer-pc</dc:creator>
  <cp:lastModifiedBy>史磊</cp:lastModifiedBy>
  <dcterms:created xsi:type="dcterms:W3CDTF">2023-05-12T11:15:00Z</dcterms:created>
  <dcterms:modified xsi:type="dcterms:W3CDTF">2024-08-31T01:47:38Z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DFB1CCF094E7468F939DCB741EB292DD_12</vt:lpwstr>
  </property>
</Properties>
</file>