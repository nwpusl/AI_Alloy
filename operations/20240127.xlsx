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32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<sst xmlns="http://schemas.openxmlformats.org/spreadsheetml/2006/main" count="119" uniqueCount="61">
  <si>
    <t>Al</t>
  </si>
  <si>
    <t>Zn</t>
  </si>
  <si>
    <t>Mn</t>
  </si>
  <si>
    <t>Mg</t>
  </si>
  <si>
    <t>Y</t>
  </si>
  <si>
    <t>Gd</t>
  </si>
  <si>
    <t>Ca</t>
  </si>
  <si>
    <t>Nd</t>
  </si>
  <si>
    <t>Zr</t>
  </si>
  <si>
    <t>晶粒尺寸</t>
  </si>
  <si>
    <t>屈服强度</t>
  </si>
  <si>
    <t>抗拉强度 （UTS）</t>
  </si>
  <si>
    <t>延伸率</t>
  </si>
  <si>
    <t>惯习面</t>
  </si>
  <si>
    <t>析出相分布</t>
  </si>
  <si>
    <t>计算固溶</t>
  </si>
  <si>
    <t>计算晶界</t>
  </si>
  <si>
    <t>计算总强度</t>
  </si>
  <si>
    <t>追踪编号</t>
  </si>
  <si>
    <t>MAE_calculation</t>
  </si>
  <si>
    <t>MAE_predict</t>
  </si>
  <si>
    <t>无</t>
  </si>
  <si>
    <t>20240127-1-AZ31</t>
  </si>
  <si>
    <t>20240127-2-AZ31</t>
  </si>
  <si>
    <t>20240127-3-AZ31</t>
  </si>
  <si>
    <t>基面</t>
  </si>
  <si>
    <t>晶界+晶内</t>
  </si>
  <si>
    <t>20240127-4-Mg97Y2Zn</t>
  </si>
  <si>
    <t>20240127-5-Mg97Y2Zn</t>
  </si>
  <si>
    <t>20240127-6-Mg97Y2Zn</t>
  </si>
  <si>
    <t>20240127-7-Mg3Gd</t>
  </si>
  <si>
    <t>20240127-8-Mg3Gd</t>
  </si>
  <si>
    <t>20240127-9-Mg10Y</t>
  </si>
  <si>
    <t>20240127-10-Mg10Y</t>
  </si>
  <si>
    <t>20240127-11-Mg10Y</t>
  </si>
  <si>
    <t>晶内</t>
  </si>
  <si>
    <t xml:space="preserve">20240127-12-Mg-8.81Y-0.88Zn </t>
  </si>
  <si>
    <t>晶界</t>
  </si>
  <si>
    <t xml:space="preserve">20240127-13-Mg-8.81Y-0.88Zn </t>
  </si>
  <si>
    <t xml:space="preserve">20240127-14-Mg-8.81Y-0.88Zn </t>
  </si>
  <si>
    <t xml:space="preserve">20240127-15-Mg-8.81Y-0.88Zn </t>
  </si>
  <si>
    <t>20240127-16-Mg-0.47Ca</t>
  </si>
  <si>
    <t>20240127-17-Mg-2Nd</t>
  </si>
  <si>
    <t>杂质</t>
  </si>
  <si>
    <t>20240127-18-Mg-6Al-1Ca</t>
  </si>
  <si>
    <t>20240127-19-Mg3Y</t>
  </si>
  <si>
    <t>20240127-20-Mg5Y</t>
  </si>
  <si>
    <t>20240127-21-Mg7Y</t>
  </si>
  <si>
    <t>20240127-22-Mg9Y</t>
  </si>
  <si>
    <t>20240127-23-Mg-10Gd=3Y-0.4Zr</t>
  </si>
  <si>
    <t>20240127-24-Mg-10.83Y-1.09Al</t>
  </si>
  <si>
    <t>20240127-25-Mg-10.83Y-1.09Al</t>
  </si>
  <si>
    <t>20240127-26-Mg-10.83Y-1.09Al</t>
  </si>
  <si>
    <t>20240127-27-Mg-10.83Y-1.09Al</t>
  </si>
  <si>
    <t>20240127-28-Mg-10.83Y-1.09Al</t>
  </si>
  <si>
    <t>20240127-29-Mg-8Y-2.59Zn</t>
  </si>
  <si>
    <t>MAE calculation</t>
  </si>
  <si>
    <t>20240127-30-Mg-8Y-2.59Zn</t>
  </si>
  <si>
    <t>20240127-31-Mg-8Y-2.59Zn</t>
  </si>
  <si>
    <t>MAE predict</t>
  </si>
  <si>
    <t>20240127-32-Mg-8Y-2.59Zn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</si>
</sst>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abSelected="1" zoomScale="130" zoomScaleNormal="130" topLeftCell="I1" workbookViewId="0">
      <selection activeCell="S2" sqref="S2"/>
    </sheetView>
  </sheetViews>
  <sheetFormatPr defaultColWidth="9" defaultRowHeight="13.5"/>
  <cols>
    <col min="12" max="12" width="9.49557522123894" customWidth="1"/>
    <col min="13" max="13" width="18.6548672566372" customWidth="1"/>
    <col min="17" max="19" width="9" style="1"/>
    <col min="22" max="22" width="17.3274336283186" customWidth="1"/>
    <col min="23" max="23" width="12.7964601769912" style="2"/>
    <col min="24" max="24" width="12.7964601769912"/>
  </cols>
  <sheetData>
    <row r="1" spans="2:2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8" t="s">
        <v>15</v>
      </c>
      <c r="R1" s="8" t="s">
        <v>16</v>
      </c>
      <c r="S1" s="8" t="s">
        <v>17</v>
      </c>
      <c r="T1" s="3" t="s">
        <v>18</v>
      </c>
      <c r="V1" t="s">
        <v>19</v>
      </c>
      <c r="W1" s="2" t="s">
        <v>20</v>
      </c>
    </row>
    <row r="2" spans="1:22">
      <c r="A2" s="4">
        <v>1</v>
      </c>
      <c r="B2" s="5">
        <v>3</v>
      </c>
      <c r="C2" s="5">
        <v>1</v>
      </c>
      <c r="D2" s="5">
        <v>0.3</v>
      </c>
      <c r="E2" s="5">
        <v>95.7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>
        <v>25</v>
      </c>
      <c r="L2">
        <v>207.42</v>
      </c>
      <c r="M2">
        <v>265.1</v>
      </c>
      <c r="N2">
        <v>6.925</v>
      </c>
      <c r="O2" t="s">
        <v>21</v>
      </c>
      <c r="P2" t="s">
        <v>21</v>
      </c>
      <c r="Q2" s="1">
        <v>39.5321615323416</v>
      </c>
      <c r="R2" s="1">
        <v>66.990782080764</v>
      </c>
      <c r="S2" s="1">
        <v>106.522943613106</v>
      </c>
      <c r="T2" t="s">
        <v>22</v>
      </c>
      <c r="V2" s="2">
        <f>ABS(S2-L2)</f>
        <v>100.897056386894</v>
      </c>
    </row>
    <row r="3" spans="1:22">
      <c r="A3" s="4">
        <v>2</v>
      </c>
      <c r="B3" s="5">
        <v>3</v>
      </c>
      <c r="C3" s="5">
        <v>1</v>
      </c>
      <c r="D3" s="5">
        <v>0.3</v>
      </c>
      <c r="E3" s="5">
        <v>95.7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>
        <v>25</v>
      </c>
      <c r="L3">
        <v>195</v>
      </c>
      <c r="M3">
        <v>251.3</v>
      </c>
      <c r="N3">
        <v>8.523</v>
      </c>
      <c r="O3" t="s">
        <v>21</v>
      </c>
      <c r="P3" t="s">
        <v>21</v>
      </c>
      <c r="Q3" s="1">
        <v>39.5321615323416</v>
      </c>
      <c r="R3" s="1">
        <v>66.990782080764</v>
      </c>
      <c r="S3" s="1">
        <v>106.522943613106</v>
      </c>
      <c r="T3" t="s">
        <v>23</v>
      </c>
      <c r="V3" s="2">
        <f t="shared" ref="V3:V33" si="0">ABS(S3-L3)</f>
        <v>88.4770563868944</v>
      </c>
    </row>
    <row r="4" spans="1:22">
      <c r="A4" s="4">
        <v>3</v>
      </c>
      <c r="B4" s="5">
        <v>3</v>
      </c>
      <c r="C4" s="5">
        <v>1</v>
      </c>
      <c r="D4" s="5">
        <v>0.3</v>
      </c>
      <c r="E4" s="5">
        <v>95.7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>
        <v>25</v>
      </c>
      <c r="L4">
        <v>203.53</v>
      </c>
      <c r="M4">
        <v>260.6</v>
      </c>
      <c r="N4">
        <v>8.024</v>
      </c>
      <c r="O4" t="s">
        <v>21</v>
      </c>
      <c r="P4" t="s">
        <v>21</v>
      </c>
      <c r="Q4" s="1">
        <v>39.5321615323416</v>
      </c>
      <c r="R4" s="1">
        <v>66.990782080764</v>
      </c>
      <c r="S4" s="1">
        <v>106.522943613106</v>
      </c>
      <c r="T4" t="s">
        <v>24</v>
      </c>
      <c r="V4" s="2">
        <f t="shared" si="0"/>
        <v>97.0070563868944</v>
      </c>
    </row>
    <row r="5" spans="1:22">
      <c r="A5" s="3">
        <v>4</v>
      </c>
      <c r="B5">
        <v>0</v>
      </c>
      <c r="C5">
        <v>2.39</v>
      </c>
      <c r="D5">
        <v>0</v>
      </c>
      <c r="E5">
        <v>92.5</v>
      </c>
      <c r="F5">
        <v>5.11</v>
      </c>
      <c r="G5">
        <v>0</v>
      </c>
      <c r="H5">
        <v>0</v>
      </c>
      <c r="I5">
        <v>0</v>
      </c>
      <c r="J5">
        <v>0</v>
      </c>
      <c r="K5">
        <v>10</v>
      </c>
      <c r="L5">
        <v>192.34</v>
      </c>
      <c r="M5">
        <v>303.6</v>
      </c>
      <c r="N5">
        <v>12.267</v>
      </c>
      <c r="O5" t="s">
        <v>25</v>
      </c>
      <c r="P5" t="s">
        <v>26</v>
      </c>
      <c r="Q5" s="1">
        <v>335.859151797847</v>
      </c>
      <c r="R5" s="1">
        <v>124.400575358998</v>
      </c>
      <c r="S5" s="1">
        <v>460.259727156845</v>
      </c>
      <c r="T5" t="s">
        <v>27</v>
      </c>
      <c r="V5" s="2">
        <f t="shared" si="0"/>
        <v>267.919727156845</v>
      </c>
    </row>
    <row r="6" spans="1:22">
      <c r="A6" s="4">
        <v>5</v>
      </c>
      <c r="B6" s="5">
        <v>0</v>
      </c>
      <c r="C6" s="5">
        <v>2.39</v>
      </c>
      <c r="D6" s="5">
        <v>0</v>
      </c>
      <c r="E6" s="5">
        <v>92.5</v>
      </c>
      <c r="F6" s="5">
        <v>5.11</v>
      </c>
      <c r="G6" s="5">
        <v>0</v>
      </c>
      <c r="H6" s="5">
        <v>0</v>
      </c>
      <c r="I6" s="5">
        <v>0</v>
      </c>
      <c r="J6" s="5">
        <v>0</v>
      </c>
      <c r="K6">
        <v>10</v>
      </c>
      <c r="L6">
        <v>186.94</v>
      </c>
      <c r="M6">
        <v>297.3</v>
      </c>
      <c r="N6">
        <v>13.156</v>
      </c>
      <c r="O6" t="s">
        <v>25</v>
      </c>
      <c r="P6" t="s">
        <v>26</v>
      </c>
      <c r="Q6" s="1">
        <v>335.859151797847</v>
      </c>
      <c r="R6" s="1">
        <v>124.400575358998</v>
      </c>
      <c r="S6" s="1">
        <v>460.259727156845</v>
      </c>
      <c r="T6" t="s">
        <v>28</v>
      </c>
      <c r="V6" s="2">
        <f t="shared" si="0"/>
        <v>273.319727156845</v>
      </c>
    </row>
    <row r="7" spans="1:22">
      <c r="A7" s="3">
        <v>6</v>
      </c>
      <c r="B7">
        <v>0</v>
      </c>
      <c r="C7">
        <v>2.39</v>
      </c>
      <c r="D7">
        <v>0</v>
      </c>
      <c r="E7">
        <v>92.5</v>
      </c>
      <c r="F7">
        <v>5.11</v>
      </c>
      <c r="G7">
        <v>0</v>
      </c>
      <c r="H7">
        <v>0</v>
      </c>
      <c r="I7">
        <v>0</v>
      </c>
      <c r="J7">
        <v>0</v>
      </c>
      <c r="K7">
        <v>10</v>
      </c>
      <c r="L7">
        <v>189.72</v>
      </c>
      <c r="M7">
        <v>301.9</v>
      </c>
      <c r="N7">
        <v>11.783</v>
      </c>
      <c r="O7" t="s">
        <v>25</v>
      </c>
      <c r="P7" t="s">
        <v>26</v>
      </c>
      <c r="Q7" s="1">
        <v>335.859151797847</v>
      </c>
      <c r="R7" s="1">
        <v>124.400575358998</v>
      </c>
      <c r="S7" s="1">
        <v>460.259727156845</v>
      </c>
      <c r="T7" t="s">
        <v>29</v>
      </c>
      <c r="V7" s="2">
        <f t="shared" si="0"/>
        <v>270.539727156845</v>
      </c>
    </row>
    <row r="8" spans="1:22">
      <c r="A8" s="3">
        <v>7</v>
      </c>
      <c r="B8">
        <v>0</v>
      </c>
      <c r="C8">
        <v>0</v>
      </c>
      <c r="D8">
        <v>0</v>
      </c>
      <c r="E8">
        <v>97</v>
      </c>
      <c r="F8">
        <v>0</v>
      </c>
      <c r="G8">
        <v>3</v>
      </c>
      <c r="H8">
        <v>0</v>
      </c>
      <c r="I8">
        <v>0</v>
      </c>
      <c r="J8">
        <v>0</v>
      </c>
      <c r="K8" s="7">
        <v>50</v>
      </c>
      <c r="L8" s="7">
        <v>131.42</v>
      </c>
      <c r="M8" s="7">
        <v>222.4</v>
      </c>
      <c r="N8" s="7">
        <v>9.674</v>
      </c>
      <c r="O8" s="7" t="s">
        <v>21</v>
      </c>
      <c r="P8" s="7" t="s">
        <v>21</v>
      </c>
      <c r="Q8" s="1">
        <v>128.453856525752</v>
      </c>
      <c r="R8" s="1">
        <v>33.0625808475729</v>
      </c>
      <c r="S8" s="1">
        <v>161.516437373325</v>
      </c>
      <c r="T8" t="s">
        <v>30</v>
      </c>
      <c r="V8" s="2">
        <f t="shared" si="0"/>
        <v>30.0964373733247</v>
      </c>
    </row>
    <row r="9" spans="1:22">
      <c r="A9" s="3">
        <v>8</v>
      </c>
      <c r="B9">
        <v>0</v>
      </c>
      <c r="C9">
        <v>0</v>
      </c>
      <c r="D9">
        <v>0</v>
      </c>
      <c r="E9">
        <v>97</v>
      </c>
      <c r="F9">
        <v>0</v>
      </c>
      <c r="G9">
        <v>3</v>
      </c>
      <c r="H9">
        <v>0</v>
      </c>
      <c r="I9">
        <v>0</v>
      </c>
      <c r="J9">
        <v>0</v>
      </c>
      <c r="K9" s="7">
        <v>50</v>
      </c>
      <c r="L9" s="7">
        <v>128.55</v>
      </c>
      <c r="M9" s="7">
        <v>217.3</v>
      </c>
      <c r="N9" s="7">
        <v>9.444</v>
      </c>
      <c r="O9" s="7" t="s">
        <v>21</v>
      </c>
      <c r="P9" s="7" t="s">
        <v>21</v>
      </c>
      <c r="Q9" s="1">
        <v>128.453856525752</v>
      </c>
      <c r="R9" s="1">
        <v>33.0625808475729</v>
      </c>
      <c r="S9" s="1">
        <v>161.516437373325</v>
      </c>
      <c r="T9" t="s">
        <v>31</v>
      </c>
      <c r="V9" s="2">
        <f t="shared" si="0"/>
        <v>32.9664373733247</v>
      </c>
    </row>
    <row r="10" spans="1:22">
      <c r="A10" s="3">
        <v>9</v>
      </c>
      <c r="B10">
        <v>0</v>
      </c>
      <c r="C10">
        <v>0</v>
      </c>
      <c r="D10">
        <v>0</v>
      </c>
      <c r="E10">
        <v>90</v>
      </c>
      <c r="F10">
        <v>10</v>
      </c>
      <c r="G10">
        <v>0</v>
      </c>
      <c r="H10">
        <v>0</v>
      </c>
      <c r="I10">
        <v>0</v>
      </c>
      <c r="J10">
        <v>0</v>
      </c>
      <c r="K10">
        <v>10</v>
      </c>
      <c r="L10">
        <v>105.3</v>
      </c>
      <c r="M10">
        <v>189.6</v>
      </c>
      <c r="N10">
        <v>23.494</v>
      </c>
      <c r="O10" t="s">
        <v>21</v>
      </c>
      <c r="P10" t="s">
        <v>21</v>
      </c>
      <c r="Q10" s="1">
        <v>667.055936876381</v>
      </c>
      <c r="R10" s="1">
        <v>75.7302209863509</v>
      </c>
      <c r="S10" s="1">
        <v>742.786157862732</v>
      </c>
      <c r="T10" t="s">
        <v>32</v>
      </c>
      <c r="V10" s="2">
        <f t="shared" si="0"/>
        <v>637.486157862732</v>
      </c>
    </row>
    <row r="11" spans="1:22">
      <c r="A11" s="3">
        <v>10</v>
      </c>
      <c r="B11">
        <v>0</v>
      </c>
      <c r="C11">
        <v>0</v>
      </c>
      <c r="D11">
        <v>0</v>
      </c>
      <c r="E11">
        <v>90</v>
      </c>
      <c r="F11">
        <v>10</v>
      </c>
      <c r="G11">
        <v>0</v>
      </c>
      <c r="H11">
        <v>0</v>
      </c>
      <c r="I11">
        <v>0</v>
      </c>
      <c r="J11">
        <v>0</v>
      </c>
      <c r="K11">
        <v>10</v>
      </c>
      <c r="L11">
        <v>111.24</v>
      </c>
      <c r="M11">
        <v>193</v>
      </c>
      <c r="N11">
        <v>22.176</v>
      </c>
      <c r="O11" t="s">
        <v>21</v>
      </c>
      <c r="P11" t="s">
        <v>21</v>
      </c>
      <c r="Q11" s="1">
        <v>667.055936876381</v>
      </c>
      <c r="R11" s="1">
        <v>75.7302209863509</v>
      </c>
      <c r="S11" s="1">
        <v>742.786157862732</v>
      </c>
      <c r="T11" t="s">
        <v>33</v>
      </c>
      <c r="V11" s="2">
        <f t="shared" si="0"/>
        <v>631.546157862732</v>
      </c>
    </row>
    <row r="12" spans="1:22">
      <c r="A12" s="3">
        <v>11</v>
      </c>
      <c r="B12">
        <v>0</v>
      </c>
      <c r="C12">
        <v>0</v>
      </c>
      <c r="D12">
        <v>0</v>
      </c>
      <c r="E12">
        <v>90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105.9</v>
      </c>
      <c r="M12">
        <v>189.5</v>
      </c>
      <c r="N12">
        <v>23.223</v>
      </c>
      <c r="O12" t="s">
        <v>21</v>
      </c>
      <c r="P12" t="s">
        <v>21</v>
      </c>
      <c r="Q12" s="1">
        <v>667.055936876381</v>
      </c>
      <c r="R12" s="1">
        <v>0</v>
      </c>
      <c r="S12" s="1">
        <v>667.055936876381</v>
      </c>
      <c r="T12" t="s">
        <v>34</v>
      </c>
      <c r="V12" s="2">
        <f t="shared" si="0"/>
        <v>561.155936876381</v>
      </c>
    </row>
    <row r="13" spans="1:22">
      <c r="A13" s="3">
        <v>12</v>
      </c>
      <c r="B13">
        <v>0</v>
      </c>
      <c r="C13">
        <v>0.88</v>
      </c>
      <c r="D13">
        <v>0</v>
      </c>
      <c r="E13">
        <v>90.31</v>
      </c>
      <c r="F13">
        <v>8.81</v>
      </c>
      <c r="G13">
        <v>0</v>
      </c>
      <c r="H13">
        <v>0</v>
      </c>
      <c r="I13">
        <v>0</v>
      </c>
      <c r="J13">
        <v>0</v>
      </c>
      <c r="K13" s="7">
        <v>164</v>
      </c>
      <c r="L13" s="7">
        <v>132</v>
      </c>
      <c r="M13" s="7">
        <v>211</v>
      </c>
      <c r="N13" s="7">
        <v>4</v>
      </c>
      <c r="O13" s="7" t="s">
        <v>25</v>
      </c>
      <c r="P13" s="7" t="s">
        <v>35</v>
      </c>
      <c r="Q13" s="1">
        <v>586.596815082457</v>
      </c>
      <c r="R13" s="1">
        <v>23.3591635596792</v>
      </c>
      <c r="S13" s="1">
        <v>609.955978642136</v>
      </c>
      <c r="T13" t="s">
        <v>36</v>
      </c>
      <c r="V13" s="2">
        <f t="shared" si="0"/>
        <v>477.955978642136</v>
      </c>
    </row>
    <row r="14" spans="1:22">
      <c r="A14" s="3">
        <v>13</v>
      </c>
      <c r="B14">
        <v>0</v>
      </c>
      <c r="C14">
        <v>0.88</v>
      </c>
      <c r="D14">
        <v>0</v>
      </c>
      <c r="E14">
        <v>90.31</v>
      </c>
      <c r="F14">
        <v>8.81</v>
      </c>
      <c r="G14">
        <v>0</v>
      </c>
      <c r="H14">
        <v>0</v>
      </c>
      <c r="I14">
        <v>0</v>
      </c>
      <c r="J14">
        <v>0</v>
      </c>
      <c r="K14" s="7">
        <v>111</v>
      </c>
      <c r="L14" s="7">
        <v>135</v>
      </c>
      <c r="M14" s="7">
        <v>202</v>
      </c>
      <c r="N14" s="7">
        <v>3.5</v>
      </c>
      <c r="O14" s="7" t="s">
        <v>25</v>
      </c>
      <c r="P14" s="7" t="s">
        <v>37</v>
      </c>
      <c r="Q14" s="1">
        <v>586.596815082457</v>
      </c>
      <c r="R14" s="1">
        <v>28.3934210185372</v>
      </c>
      <c r="S14" s="1">
        <v>614.990236100994</v>
      </c>
      <c r="T14" t="s">
        <v>38</v>
      </c>
      <c r="V14" s="2">
        <f t="shared" si="0"/>
        <v>479.990236100994</v>
      </c>
    </row>
    <row r="15" spans="1:22">
      <c r="A15" s="3">
        <v>14</v>
      </c>
      <c r="B15">
        <v>0</v>
      </c>
      <c r="C15">
        <v>0.88</v>
      </c>
      <c r="D15">
        <v>0</v>
      </c>
      <c r="E15">
        <v>90.31</v>
      </c>
      <c r="F15">
        <v>8.81</v>
      </c>
      <c r="G15">
        <v>0</v>
      </c>
      <c r="H15">
        <v>0</v>
      </c>
      <c r="I15">
        <v>0</v>
      </c>
      <c r="J15">
        <v>0</v>
      </c>
      <c r="K15">
        <v>115</v>
      </c>
      <c r="L15">
        <v>112</v>
      </c>
      <c r="M15">
        <v>156</v>
      </c>
      <c r="N15">
        <v>1.6</v>
      </c>
      <c r="O15" t="s">
        <v>25</v>
      </c>
      <c r="P15" t="s">
        <v>26</v>
      </c>
      <c r="Q15" s="1">
        <v>586.596815082457</v>
      </c>
      <c r="R15" s="1">
        <v>27.8952521504983</v>
      </c>
      <c r="S15" s="1">
        <v>614.492067232955</v>
      </c>
      <c r="T15" t="s">
        <v>39</v>
      </c>
      <c r="V15" s="2">
        <f t="shared" si="0"/>
        <v>502.492067232955</v>
      </c>
    </row>
    <row r="16" spans="1:22">
      <c r="A16" s="3">
        <v>15</v>
      </c>
      <c r="B16">
        <v>0</v>
      </c>
      <c r="C16">
        <v>0.88</v>
      </c>
      <c r="D16">
        <v>0</v>
      </c>
      <c r="E16">
        <v>90.31</v>
      </c>
      <c r="F16">
        <v>8.81</v>
      </c>
      <c r="G16">
        <v>0</v>
      </c>
      <c r="H16">
        <v>0</v>
      </c>
      <c r="I16">
        <v>0</v>
      </c>
      <c r="J16">
        <v>0</v>
      </c>
      <c r="K16">
        <v>169</v>
      </c>
      <c r="L16">
        <v>114</v>
      </c>
      <c r="M16">
        <v>179</v>
      </c>
      <c r="N16">
        <v>1.4</v>
      </c>
      <c r="O16" t="s">
        <v>25</v>
      </c>
      <c r="P16" t="s">
        <v>35</v>
      </c>
      <c r="Q16" s="1">
        <v>586.596815082457</v>
      </c>
      <c r="R16" s="1">
        <v>23.0110194392523</v>
      </c>
      <c r="S16" s="1">
        <v>609.607834521709</v>
      </c>
      <c r="T16" t="s">
        <v>40</v>
      </c>
      <c r="V16" s="2">
        <f t="shared" si="0"/>
        <v>495.607834521709</v>
      </c>
    </row>
    <row r="17" hidden="1" spans="1:22">
      <c r="A17" s="3">
        <v>16</v>
      </c>
      <c r="B17">
        <v>0</v>
      </c>
      <c r="C17">
        <v>0</v>
      </c>
      <c r="D17">
        <v>0</v>
      </c>
      <c r="E17">
        <v>99.53</v>
      </c>
      <c r="F17">
        <v>0</v>
      </c>
      <c r="G17">
        <v>0</v>
      </c>
      <c r="H17">
        <v>0.47</v>
      </c>
      <c r="I17">
        <v>0</v>
      </c>
      <c r="J17">
        <v>0</v>
      </c>
      <c r="K17">
        <v>35</v>
      </c>
      <c r="L17">
        <v>0</v>
      </c>
      <c r="M17">
        <v>165</v>
      </c>
      <c r="N17">
        <v>16</v>
      </c>
      <c r="O17" t="s">
        <v>21</v>
      </c>
      <c r="P17" t="s">
        <v>21</v>
      </c>
      <c r="Q17" s="1">
        <v>23.0641492029233</v>
      </c>
      <c r="R17" s="1">
        <v>35.9791566796982</v>
      </c>
      <c r="S17" s="1">
        <v>59.0433058826216</v>
      </c>
      <c r="T17" t="s">
        <v>41</v>
      </c>
      <c r="V17" s="2">
        <f t="shared" si="0"/>
        <v>59.0433058826216</v>
      </c>
    </row>
    <row r="18" hidden="1" spans="1:22">
      <c r="A18" s="3">
        <v>17</v>
      </c>
      <c r="B18">
        <v>0</v>
      </c>
      <c r="C18">
        <v>0</v>
      </c>
      <c r="D18">
        <v>0</v>
      </c>
      <c r="E18">
        <v>98</v>
      </c>
      <c r="F18">
        <v>0</v>
      </c>
      <c r="G18">
        <v>0</v>
      </c>
      <c r="H18">
        <v>0</v>
      </c>
      <c r="I18">
        <v>2</v>
      </c>
      <c r="J18">
        <v>0</v>
      </c>
      <c r="K18">
        <v>43</v>
      </c>
      <c r="L18">
        <v>0</v>
      </c>
      <c r="M18">
        <v>137</v>
      </c>
      <c r="N18">
        <v>17</v>
      </c>
      <c r="O18" t="s">
        <v>21</v>
      </c>
      <c r="P18" t="s">
        <v>21</v>
      </c>
      <c r="Q18" s="1">
        <v>79.4424693917506</v>
      </c>
      <c r="R18" s="1">
        <v>42.6808397037336</v>
      </c>
      <c r="S18" s="1">
        <v>122.123309095484</v>
      </c>
      <c r="T18" t="s">
        <v>42</v>
      </c>
      <c r="V18" s="2">
        <f t="shared" si="0"/>
        <v>122.123309095484</v>
      </c>
    </row>
    <row r="19" spans="1:22">
      <c r="A19" s="4">
        <v>18</v>
      </c>
      <c r="B19" s="5">
        <v>6</v>
      </c>
      <c r="C19" s="5">
        <v>0</v>
      </c>
      <c r="D19" s="5">
        <v>0</v>
      </c>
      <c r="E19" s="5">
        <v>93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7">
        <v>19</v>
      </c>
      <c r="L19" s="7">
        <v>130</v>
      </c>
      <c r="M19" s="7">
        <v>265</v>
      </c>
      <c r="N19" s="7">
        <v>26</v>
      </c>
      <c r="O19" s="7" t="s">
        <v>43</v>
      </c>
      <c r="P19" s="7" t="s">
        <v>35</v>
      </c>
      <c r="Q19" s="1">
        <v>121.228564552017</v>
      </c>
      <c r="R19" s="1">
        <v>74.6290744014496</v>
      </c>
      <c r="S19" s="1">
        <v>195.857638953466</v>
      </c>
      <c r="T19" t="s">
        <v>44</v>
      </c>
      <c r="V19" s="2">
        <f t="shared" si="0"/>
        <v>65.8576389534663</v>
      </c>
    </row>
    <row r="20" spans="1:22">
      <c r="A20" s="3">
        <v>19</v>
      </c>
      <c r="B20">
        <v>0</v>
      </c>
      <c r="C20">
        <v>0</v>
      </c>
      <c r="D20">
        <v>0</v>
      </c>
      <c r="E20">
        <v>97</v>
      </c>
      <c r="F20">
        <v>3</v>
      </c>
      <c r="G20">
        <v>0</v>
      </c>
      <c r="H20">
        <v>0</v>
      </c>
      <c r="I20">
        <v>0</v>
      </c>
      <c r="J20">
        <v>0</v>
      </c>
      <c r="K20">
        <v>73</v>
      </c>
      <c r="L20">
        <v>68</v>
      </c>
      <c r="M20">
        <v>112</v>
      </c>
      <c r="N20">
        <v>16</v>
      </c>
      <c r="O20" t="s">
        <v>21</v>
      </c>
      <c r="P20" t="s">
        <v>21</v>
      </c>
      <c r="Q20" s="1">
        <v>189.711323686951</v>
      </c>
      <c r="R20" s="1">
        <v>25.5599297150491</v>
      </c>
      <c r="S20" s="1">
        <v>215.271253402</v>
      </c>
      <c r="T20" t="s">
        <v>45</v>
      </c>
      <c r="V20" s="2">
        <f t="shared" si="0"/>
        <v>147.271253402</v>
      </c>
    </row>
    <row r="21" spans="1:22">
      <c r="A21" s="4">
        <v>20</v>
      </c>
      <c r="B21" s="5">
        <v>0</v>
      </c>
      <c r="C21" s="5">
        <v>0</v>
      </c>
      <c r="D21" s="5">
        <v>0</v>
      </c>
      <c r="E21" s="5">
        <v>95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>
        <v>61</v>
      </c>
      <c r="L21">
        <v>90</v>
      </c>
      <c r="M21">
        <v>202</v>
      </c>
      <c r="N21">
        <v>26</v>
      </c>
      <c r="O21" t="s">
        <v>21</v>
      </c>
      <c r="P21" t="s">
        <v>21</v>
      </c>
      <c r="Q21" s="1">
        <v>320.953712712687</v>
      </c>
      <c r="R21" s="1">
        <v>28.7038562750056</v>
      </c>
      <c r="S21" s="1">
        <v>349.657568987693</v>
      </c>
      <c r="T21" t="s">
        <v>46</v>
      </c>
      <c r="V21" s="2">
        <f t="shared" si="0"/>
        <v>259.657568987693</v>
      </c>
    </row>
    <row r="22" spans="1:22">
      <c r="A22" s="4">
        <v>21</v>
      </c>
      <c r="B22" s="5">
        <v>0</v>
      </c>
      <c r="C22" s="5">
        <v>0</v>
      </c>
      <c r="D22" s="5">
        <v>0</v>
      </c>
      <c r="E22" s="5">
        <v>93</v>
      </c>
      <c r="F22" s="5">
        <v>7</v>
      </c>
      <c r="G22" s="5">
        <v>0</v>
      </c>
      <c r="H22" s="5">
        <v>0</v>
      </c>
      <c r="I22" s="5">
        <v>0</v>
      </c>
      <c r="J22" s="5">
        <v>0</v>
      </c>
      <c r="K22">
        <v>55</v>
      </c>
      <c r="L22">
        <v>100</v>
      </c>
      <c r="M22">
        <v>210</v>
      </c>
      <c r="N22">
        <v>22</v>
      </c>
      <c r="O22" t="s">
        <v>21</v>
      </c>
      <c r="P22" t="s">
        <v>21</v>
      </c>
      <c r="Q22" s="1">
        <v>456.215058382515</v>
      </c>
      <c r="R22" s="1">
        <v>31.0350441660701</v>
      </c>
      <c r="S22" s="1">
        <v>487.250102548586</v>
      </c>
      <c r="T22" t="s">
        <v>47</v>
      </c>
      <c r="V22" s="2">
        <f t="shared" si="0"/>
        <v>387.250102548586</v>
      </c>
    </row>
    <row r="23" spans="1:22">
      <c r="A23" s="3">
        <v>22</v>
      </c>
      <c r="B23">
        <v>0</v>
      </c>
      <c r="C23">
        <v>0</v>
      </c>
      <c r="D23">
        <v>0</v>
      </c>
      <c r="E23">
        <v>91</v>
      </c>
      <c r="F23">
        <v>9</v>
      </c>
      <c r="G23">
        <v>0</v>
      </c>
      <c r="H23">
        <v>0</v>
      </c>
      <c r="I23">
        <v>0</v>
      </c>
      <c r="J23">
        <v>0</v>
      </c>
      <c r="K23">
        <v>68</v>
      </c>
      <c r="L23">
        <v>110</v>
      </c>
      <c r="M23">
        <v>302</v>
      </c>
      <c r="N23">
        <v>23</v>
      </c>
      <c r="O23" t="s">
        <v>21</v>
      </c>
      <c r="P23" t="s">
        <v>21</v>
      </c>
      <c r="Q23" s="1">
        <v>595.682836306394</v>
      </c>
      <c r="R23" s="1">
        <v>28.6587019919469</v>
      </c>
      <c r="S23" s="1">
        <v>624.341538298341</v>
      </c>
      <c r="T23" t="s">
        <v>48</v>
      </c>
      <c r="V23" s="2">
        <f t="shared" si="0"/>
        <v>514.341538298341</v>
      </c>
    </row>
    <row r="24" spans="1:22">
      <c r="A24" s="4">
        <v>23</v>
      </c>
      <c r="B24" s="5">
        <v>0</v>
      </c>
      <c r="C24" s="5">
        <v>0</v>
      </c>
      <c r="D24" s="5">
        <v>0</v>
      </c>
      <c r="E24" s="5">
        <v>86.6</v>
      </c>
      <c r="F24" s="5">
        <v>3</v>
      </c>
      <c r="G24" s="5">
        <v>10</v>
      </c>
      <c r="H24" s="5">
        <v>0</v>
      </c>
      <c r="I24" s="5">
        <v>0</v>
      </c>
      <c r="J24" s="5">
        <v>0.4</v>
      </c>
      <c r="K24" s="7">
        <v>66</v>
      </c>
      <c r="L24" s="7">
        <v>203</v>
      </c>
      <c r="M24" s="7">
        <v>310</v>
      </c>
      <c r="N24" s="7">
        <v>22.3</v>
      </c>
      <c r="O24" s="7" t="s">
        <v>21</v>
      </c>
      <c r="P24" s="7" t="s">
        <v>21</v>
      </c>
      <c r="Q24" s="1">
        <v>682.257394669804</v>
      </c>
      <c r="R24" s="1">
        <v>37.9624585195709</v>
      </c>
      <c r="S24" s="1">
        <v>720.219853189375</v>
      </c>
      <c r="T24" t="s">
        <v>49</v>
      </c>
      <c r="V24" s="2">
        <f t="shared" si="0"/>
        <v>517.219853189375</v>
      </c>
    </row>
    <row r="25" spans="1:22">
      <c r="A25" s="3">
        <v>24</v>
      </c>
      <c r="B25">
        <v>1.09</v>
      </c>
      <c r="C25">
        <v>0</v>
      </c>
      <c r="D25">
        <v>0</v>
      </c>
      <c r="E25">
        <v>88.08</v>
      </c>
      <c r="F25">
        <v>10.83</v>
      </c>
      <c r="G25">
        <v>0</v>
      </c>
      <c r="H25">
        <v>0</v>
      </c>
      <c r="I25">
        <v>0</v>
      </c>
      <c r="J25">
        <v>0</v>
      </c>
      <c r="K25" s="7">
        <v>40</v>
      </c>
      <c r="L25" s="7">
        <v>160</v>
      </c>
      <c r="M25" s="7">
        <v>220</v>
      </c>
      <c r="N25" s="7">
        <v>2</v>
      </c>
      <c r="O25" s="7" t="s">
        <v>25</v>
      </c>
      <c r="P25" s="7" t="s">
        <v>37</v>
      </c>
      <c r="Q25" s="1">
        <v>742.030987513863</v>
      </c>
      <c r="R25" s="1">
        <v>41.665129299879</v>
      </c>
      <c r="S25" s="1">
        <v>783.696116813742</v>
      </c>
      <c r="T25" t="s">
        <v>50</v>
      </c>
      <c r="V25" s="2">
        <f t="shared" si="0"/>
        <v>623.696116813742</v>
      </c>
    </row>
    <row r="26" spans="1:22">
      <c r="A26" s="4">
        <v>25</v>
      </c>
      <c r="B26" s="5">
        <v>1.09</v>
      </c>
      <c r="C26" s="5">
        <v>0</v>
      </c>
      <c r="D26" s="5">
        <v>0</v>
      </c>
      <c r="E26" s="5">
        <v>88.08</v>
      </c>
      <c r="F26" s="5">
        <v>10.83</v>
      </c>
      <c r="G26" s="5">
        <v>0</v>
      </c>
      <c r="H26" s="5">
        <v>0</v>
      </c>
      <c r="I26" s="5">
        <v>0</v>
      </c>
      <c r="J26" s="5">
        <v>0</v>
      </c>
      <c r="K26" s="7">
        <v>40</v>
      </c>
      <c r="L26" s="7">
        <v>160</v>
      </c>
      <c r="M26" s="7">
        <v>230</v>
      </c>
      <c r="N26" s="7">
        <v>4</v>
      </c>
      <c r="O26" s="7" t="s">
        <v>25</v>
      </c>
      <c r="P26" s="7" t="s">
        <v>26</v>
      </c>
      <c r="Q26" s="1">
        <v>742.030987513863</v>
      </c>
      <c r="R26" s="1">
        <v>41.665129299879</v>
      </c>
      <c r="S26" s="1">
        <v>783.696116813742</v>
      </c>
      <c r="T26" t="s">
        <v>51</v>
      </c>
      <c r="V26" s="2">
        <f t="shared" si="0"/>
        <v>623.696116813742</v>
      </c>
    </row>
    <row r="27" spans="1:22">
      <c r="A27" s="4">
        <v>26</v>
      </c>
      <c r="B27" s="5">
        <v>1.09</v>
      </c>
      <c r="C27" s="5">
        <v>0</v>
      </c>
      <c r="D27" s="5">
        <v>0</v>
      </c>
      <c r="E27" s="5">
        <v>88.08</v>
      </c>
      <c r="F27" s="5">
        <v>10.83</v>
      </c>
      <c r="G27" s="5">
        <v>0</v>
      </c>
      <c r="H27" s="5">
        <v>0</v>
      </c>
      <c r="I27" s="5">
        <v>0</v>
      </c>
      <c r="J27" s="5">
        <v>0</v>
      </c>
      <c r="K27" s="7">
        <v>40</v>
      </c>
      <c r="L27" s="7">
        <v>160</v>
      </c>
      <c r="M27" s="7">
        <v>230</v>
      </c>
      <c r="N27" s="7">
        <v>4</v>
      </c>
      <c r="O27" s="7" t="s">
        <v>25</v>
      </c>
      <c r="P27" s="7" t="s">
        <v>26</v>
      </c>
      <c r="Q27" s="1">
        <v>742.030987513863</v>
      </c>
      <c r="R27" s="1">
        <v>41.665129299879</v>
      </c>
      <c r="S27" s="1">
        <v>783.696116813742</v>
      </c>
      <c r="T27" t="s">
        <v>52</v>
      </c>
      <c r="V27" s="2">
        <f t="shared" si="0"/>
        <v>623.696116813742</v>
      </c>
    </row>
    <row r="28" spans="1:22">
      <c r="A28" s="3">
        <v>27</v>
      </c>
      <c r="B28">
        <v>1.09</v>
      </c>
      <c r="C28">
        <v>0</v>
      </c>
      <c r="D28">
        <v>0</v>
      </c>
      <c r="E28">
        <v>88.08</v>
      </c>
      <c r="F28">
        <v>10.83</v>
      </c>
      <c r="G28">
        <v>0</v>
      </c>
      <c r="H28">
        <v>0</v>
      </c>
      <c r="I28">
        <v>0</v>
      </c>
      <c r="J28">
        <v>0</v>
      </c>
      <c r="K28">
        <v>2</v>
      </c>
      <c r="L28">
        <v>350</v>
      </c>
      <c r="M28">
        <v>250</v>
      </c>
      <c r="N28">
        <v>8</v>
      </c>
      <c r="O28" t="s">
        <v>25</v>
      </c>
      <c r="P28" t="s">
        <v>26</v>
      </c>
      <c r="Q28" s="1">
        <v>742.030987513863</v>
      </c>
      <c r="R28" s="1">
        <v>186.332122811695</v>
      </c>
      <c r="S28" s="1">
        <v>928.363110325558</v>
      </c>
      <c r="T28" t="s">
        <v>53</v>
      </c>
      <c r="V28" s="2">
        <f t="shared" si="0"/>
        <v>578.363110325558</v>
      </c>
    </row>
    <row r="29" spans="1:22">
      <c r="A29" s="4">
        <v>28</v>
      </c>
      <c r="B29" s="5">
        <v>1.09</v>
      </c>
      <c r="C29" s="5">
        <v>0</v>
      </c>
      <c r="D29" s="5">
        <v>0</v>
      </c>
      <c r="E29" s="5">
        <v>88.08</v>
      </c>
      <c r="F29" s="5">
        <v>10.83</v>
      </c>
      <c r="G29" s="5">
        <v>0</v>
      </c>
      <c r="H29" s="5">
        <v>0</v>
      </c>
      <c r="I29" s="5">
        <v>0</v>
      </c>
      <c r="J29" s="5">
        <v>0</v>
      </c>
      <c r="K29">
        <v>5</v>
      </c>
      <c r="L29">
        <v>305</v>
      </c>
      <c r="M29">
        <v>260</v>
      </c>
      <c r="N29">
        <v>15</v>
      </c>
      <c r="O29" t="s">
        <v>25</v>
      </c>
      <c r="P29" t="s">
        <v>26</v>
      </c>
      <c r="Q29" s="1">
        <v>742.030987513863</v>
      </c>
      <c r="R29" s="1">
        <v>117.846781867835</v>
      </c>
      <c r="S29" s="1">
        <v>859.877769381698</v>
      </c>
      <c r="T29" t="s">
        <v>54</v>
      </c>
      <c r="V29" s="2">
        <f t="shared" si="0"/>
        <v>554.877769381698</v>
      </c>
    </row>
    <row r="30" spans="1:24">
      <c r="A30" s="4">
        <v>29</v>
      </c>
      <c r="B30" s="5">
        <v>0</v>
      </c>
      <c r="C30" s="5">
        <v>2.59</v>
      </c>
      <c r="D30" s="5">
        <v>0</v>
      </c>
      <c r="E30" s="5">
        <v>89.41</v>
      </c>
      <c r="F30" s="5">
        <v>8</v>
      </c>
      <c r="G30" s="5">
        <v>0</v>
      </c>
      <c r="H30" s="5">
        <v>0</v>
      </c>
      <c r="I30" s="5">
        <v>0</v>
      </c>
      <c r="J30" s="5">
        <v>0</v>
      </c>
      <c r="K30">
        <v>1</v>
      </c>
      <c r="L30">
        <v>180</v>
      </c>
      <c r="M30">
        <v>287.2</v>
      </c>
      <c r="N30">
        <v>9.4</v>
      </c>
      <c r="O30" t="s">
        <v>25</v>
      </c>
      <c r="P30" t="s">
        <v>26</v>
      </c>
      <c r="Q30" s="1">
        <v>537.28040247916</v>
      </c>
      <c r="R30" s="1">
        <v>420.786966115291</v>
      </c>
      <c r="S30" s="1">
        <v>958.067368594451</v>
      </c>
      <c r="T30" t="s">
        <v>55</v>
      </c>
      <c r="V30" s="2">
        <f t="shared" si="0"/>
        <v>778.067368594451</v>
      </c>
      <c r="X30" t="s">
        <v>56</v>
      </c>
    </row>
    <row r="31" spans="1:24">
      <c r="A31" s="3">
        <v>30</v>
      </c>
      <c r="B31">
        <v>0</v>
      </c>
      <c r="C31">
        <v>2.59</v>
      </c>
      <c r="D31">
        <v>0</v>
      </c>
      <c r="E31">
        <v>89.41</v>
      </c>
      <c r="F31">
        <v>8</v>
      </c>
      <c r="G31">
        <v>0</v>
      </c>
      <c r="H31">
        <v>0</v>
      </c>
      <c r="I31">
        <v>0</v>
      </c>
      <c r="J31">
        <v>0</v>
      </c>
      <c r="K31">
        <v>8</v>
      </c>
      <c r="L31">
        <v>341.1</v>
      </c>
      <c r="M31">
        <v>393.4</v>
      </c>
      <c r="N31">
        <v>9.8</v>
      </c>
      <c r="O31" t="s">
        <v>25</v>
      </c>
      <c r="P31" t="s">
        <v>35</v>
      </c>
      <c r="Q31" s="1">
        <v>537.28040247916</v>
      </c>
      <c r="R31" s="1">
        <v>148.770658587518</v>
      </c>
      <c r="S31" s="1">
        <v>686.051061066678</v>
      </c>
      <c r="T31" t="s">
        <v>57</v>
      </c>
      <c r="V31" s="2">
        <f t="shared" si="0"/>
        <v>344.951061066678</v>
      </c>
      <c r="X31">
        <f>AVERAGE(V2:V33)</f>
        <v>377.40450442798</v>
      </c>
    </row>
    <row r="32" spans="1:24">
      <c r="A32" s="3">
        <v>31</v>
      </c>
      <c r="B32">
        <v>0</v>
      </c>
      <c r="C32">
        <v>2.59</v>
      </c>
      <c r="D32">
        <v>0</v>
      </c>
      <c r="E32">
        <v>89.41</v>
      </c>
      <c r="F32">
        <v>8</v>
      </c>
      <c r="G32">
        <v>0</v>
      </c>
      <c r="H32">
        <v>0</v>
      </c>
      <c r="I32">
        <v>0</v>
      </c>
      <c r="J32">
        <v>0</v>
      </c>
      <c r="K32" s="7">
        <v>3</v>
      </c>
      <c r="L32" s="7">
        <v>276.6</v>
      </c>
      <c r="M32" s="7">
        <v>342.8</v>
      </c>
      <c r="N32" s="7">
        <v>8.7</v>
      </c>
      <c r="O32" s="7" t="s">
        <v>25</v>
      </c>
      <c r="P32" s="7" t="s">
        <v>26</v>
      </c>
      <c r="Q32" s="1">
        <v>537.28040247916</v>
      </c>
      <c r="R32" s="1">
        <v>242.941468158149</v>
      </c>
      <c r="S32" s="1">
        <v>780.221870637309</v>
      </c>
      <c r="T32" t="s">
        <v>58</v>
      </c>
      <c r="V32" s="2">
        <f t="shared" si="0"/>
        <v>503.621870637309</v>
      </c>
      <c r="X32" t="s">
        <v>59</v>
      </c>
    </row>
    <row r="33" spans="1:24">
      <c r="A33" s="3">
        <v>32</v>
      </c>
      <c r="B33">
        <v>0</v>
      </c>
      <c r="C33">
        <v>2.59</v>
      </c>
      <c r="D33">
        <v>0</v>
      </c>
      <c r="E33">
        <v>89.41</v>
      </c>
      <c r="F33">
        <v>8</v>
      </c>
      <c r="G33">
        <v>0</v>
      </c>
      <c r="H33">
        <v>0</v>
      </c>
      <c r="I33">
        <v>0</v>
      </c>
      <c r="J33">
        <v>0</v>
      </c>
      <c r="K33" s="7">
        <v>11</v>
      </c>
      <c r="L33" s="7">
        <v>238.4</v>
      </c>
      <c r="M33" s="7">
        <v>334</v>
      </c>
      <c r="N33" s="7">
        <v>12.9</v>
      </c>
      <c r="O33" s="7" t="s">
        <v>25</v>
      </c>
      <c r="P33" s="7" t="s">
        <v>37</v>
      </c>
      <c r="Q33" s="1">
        <v>537.28040247916</v>
      </c>
      <c r="R33" s="1">
        <v>126.872043934219</v>
      </c>
      <c r="S33" s="1">
        <v>664.152446413379</v>
      </c>
      <c r="T33" t="s">
        <v>60</v>
      </c>
      <c r="V33" s="2">
        <f t="shared" si="0"/>
        <v>425.752446413379</v>
      </c>
      <c r="X33">
        <f>AVERAGE(V2:V33)</f>
        <v>377.40450442798</v>
      </c>
    </row>
    <row r="35" spans="1:8">
      <c r="A35" s="6"/>
      <c r="B35" s="6"/>
      <c r="C35" s="6"/>
      <c r="D35" s="6"/>
      <c r="E35" s="6"/>
      <c r="F35" s="6"/>
      <c r="G35" s="6"/>
      <c r="H3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2024-02-26T03:13:00Z</dcterms:created>
  <dcterms:modified xsi:type="dcterms:W3CDTF">2024-05-06T08:06:41Z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BB39CCA88F3C497D911ECF47EB706FC4_12</vt:lpwstr>
  </property>
  <property fmtid="{D5CDD505-2E9C-101B-9397-08002B2CF9AE}" pid="3" name="KSOProductBuildVer">
    <vt:lpwstr>2052-12.1.0.16417</vt:lpwstr>
  </property>
</Properties>
</file>